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ea1c0196d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亏损SKU核验" sheetId="1" r:id="Rd7af8aa26a4f4f9e"/>
    <x:sheet xmlns:r="http://schemas.openxmlformats.org/officeDocument/2006/relationships" name="库存覆盖情景" sheetId="2" r:id="R4452a808545b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.00;(#,##0.00)"/>
    <x:numFmt numFmtId="202" formatCode="0.00"/>
    <x:numFmt numFmtId="203" formatCode="yyyy-mm-dd"/>
  </x:numFmts>
  <x:fonts count="4">
    <x:font>
      <x:sz val="11"/>
      <x:name val="Carlito"/>
    </x:font>
    <x:font>
      <x:sz val="11"/>
      <x:color rgb="FF000000"/>
      <x:name val="Arial"/>
    </x:font>
    <x:font>
      <x:b/>
      <x:sz val="17"/>
      <x:color rgb="FF000000"/>
      <x:name val="Arial"/>
    </x:font>
    <x:font>
      <x:b/>
      <x:sz val="11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b8c1bf3e24131" /><Relationship Type="http://schemas.openxmlformats.org/officeDocument/2006/relationships/theme" Target="/xl/theme/theme1.xml" Id="R3112e93f14954f23" /><Relationship Type="http://schemas.openxmlformats.org/officeDocument/2006/relationships/sharedStrings" Target="/xl/sharedStrings.xml" Id="Reda1a93626244791" /><Relationship Type="http://schemas.openxmlformats.org/officeDocument/2006/relationships/worksheet" Target="/xl/worksheets/sheet1.xml" Id="Rd7af8aa26a4f4f9e" /><Relationship Type="http://schemas.openxmlformats.org/officeDocument/2006/relationships/worksheet" Target="/xl/worksheets/sheet2.xml" Id="R4452a808545b4315" /></Relationships>
</file>

<file path=xl/tables/table1.xml><?xml version="1.0" encoding="utf-8"?>
<x:table xmlns:x="http://schemas.openxmlformats.org/spreadsheetml/2006/main" id="1" name="ProductList0" displayName="ProductList0" ref="A8:N41" headerRowCount="1" totalsRowCount="0" totalsRowShown="0">
  <x:tableColumns count="14">
    <x:tableColumn id="1" name="商品ID"/>
    <x:tableColumn id="2" name="category"/>
    <x:tableColumn id="3" name="product_name"/>
    <x:tableColumn id="4" name="2025 Revenue"/>
    <x:tableColumn id="5" name="2025 Cost"/>
    <x:tableColumn id="6" name="2025 Gross Profit"/>
    <x:tableColumn id="7" name="净亏损金额"/>
    <x:tableColumn id="8" name="亏损贡献 %"/>
    <x:tableColumn id="9" name="累计亏损贡献 %"/>
    <x:tableColumn id="10" name="2024 Gross Profit"/>
    <x:tableColumn id="11" name="跨年状态"/>
    <x:tableColumn id="12" name="加权折扣 %"/>
    <x:tableColumn id="13" name="商品成本平衡折扣 %"/>
    <x:tableColumn id="14" name="折前商品毛利基准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roductList1" displayName="ProductList1" ref="A8:I558" headerRowCount="1" totalsRowCount="0" totalsRowShown="0">
  <x:tableColumns count="9">
    <x:tableColumn id="1" name="商品ID"/>
    <x:tableColumn id="2" name="category"/>
    <x:tableColumn id="3" name="product_name"/>
    <x:tableColumn id="4" name="快照库存"/>
    <x:tableColumn id="5" name="销量截止日"/>
    <x:tableColumn id="6" name="近30日销量"/>
    <x:tableColumn id="7" name="近90日销量"/>
    <x:tableColumn id="8" name="30日口径覆盖天数"/>
    <x:tableColumn id="9" name="90日口径覆盖天数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c730794da547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a48c8ec1254f4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8" hidden="0" customWidth="1"/>
    <x:col min="2" max="2" width="26" hidden="0" customWidth="1"/>
    <x:col min="3" max="3" width="52" hidden="0" customWidth="1"/>
    <x:col min="4" max="4" width="22" hidden="0" customWidth="1"/>
    <x:col min="5" max="5" width="22" hidden="0" customWidth="1"/>
    <x:col min="6" max="6" width="24" hidden="0" customWidth="1"/>
    <x:col min="7" max="7" width="22" hidden="0" customWidth="1"/>
    <x:col min="8" max="8" width="17" hidden="0" customWidth="1"/>
    <x:col min="9" max="9" width="20" hidden="0" customWidth="1"/>
    <x:col min="10" max="10" width="24" hidden="0" customWidth="1"/>
    <x:col min="11" max="11" width="25" hidden="0" customWidth="1"/>
    <x:col min="12" max="12" width="18" hidden="0" customWidth="1"/>
    <x:col min="13" max="13" width="25" hidden="0" customWidth="1"/>
    <x:col min="14" max="14" width="26" hidden="0" customWidth="1"/>
  </x:cols>
  <x:sheetData>
    <x:row r="1" ht="34" customHeight="1">
      <x:c r="A1" s="3" t="str">
        <x:v>亏损SKU核验 2025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SKU数</x:v>
      </x:c>
      <x:c r="B3" s="2" t="n">
        <x:f>COUNTA(A9:A41)</x:f>
        <x:v>33</x:v>
      </x:c>
      <x:c r="C3" s="2"/>
      <x:c r="D3" s="2" t="str">
        <x:v>净亏损总额 INR</x:v>
      </x:c>
      <x:c r="E3" s="2"/>
      <x:c r="F3" s="4" t="n">
        <x:f>SUM(G9:G41)</x:f>
        <x:v>5210827.009999998</x:v>
      </x:c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6" customHeight="1">
      <x:c r="A5" s="2" t="str">
        <x:v>2025年Delivered年度净毛利&lt;0；按净亏损金额排序。33个SKU含18个Electronics；金额INR。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6" customHeight="1">
      <x:c r="A6" s="2" t="str">
        <x:v>先核验成本与折让，再用实际需求和费用设计试点；历史折扣平衡值不是统一促销上限。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44" customHeight="1">
      <x:c r="A8" s="8" t="str">
        <x:v>商品ID</x:v>
      </x:c>
      <x:c r="B8" s="8" t="str">
        <x:v>category</x:v>
      </x:c>
      <x:c r="C8" s="8" t="str">
        <x:v>product_name</x:v>
      </x:c>
      <x:c r="D8" s="8" t="str">
        <x:v>2025 Revenue</x:v>
      </x:c>
      <x:c r="E8" s="8" t="str">
        <x:v>2025 Cost</x:v>
      </x:c>
      <x:c r="F8" s="8" t="str">
        <x:v>2025 Gross Profit</x:v>
      </x:c>
      <x:c r="G8" s="8" t="str">
        <x:v>净亏损金额</x:v>
      </x:c>
      <x:c r="H8" s="8" t="str">
        <x:v>亏损贡献 %</x:v>
      </x:c>
      <x:c r="I8" s="8" t="str">
        <x:v>累计亏损贡献 %</x:v>
      </x:c>
      <x:c r="J8" s="8" t="str">
        <x:v>2024 Gross Profit</x:v>
      </x:c>
      <x:c r="K8" s="8" t="str">
        <x:v>跨年状态</x:v>
      </x:c>
      <x:c r="L8" s="8" t="str">
        <x:v>加权折扣 %</x:v>
      </x:c>
      <x:c r="M8" s="8" t="str">
        <x:v>商品成本平衡折扣 %</x:v>
      </x:c>
      <x:c r="N8" s="8" t="str">
        <x:v>折前商品毛利基准</x:v>
      </x:c>
    </x:row>
    <x:row r="9" ht="27" customHeight="1">
      <x:c r="A9" s="2" t="str">
        <x:v>PROD10445</x:v>
      </x:c>
      <x:c r="B9" s="2" t="str">
        <x:v>Electronics</x:v>
      </x:c>
      <x:c r="C9" s="2" t="str">
        <x:v>Kala-Vaidya Deluxe Laptop</x:v>
      </x:c>
      <x:c r="D9" s="9" t="n">
        <x:v>25975695.9</x:v>
      </x:c>
      <x:c r="E9" s="9" t="n">
        <x:v>27241158.57</x:v>
      </x:c>
      <x:c r="F9" s="9" t="n">
        <x:v>-1265462.67</x:v>
      </x:c>
      <x:c r="G9" s="9" t="n">
        <x:v>1265462.67</x:v>
      </x:c>
      <x:c r="H9" s="10" t="n">
        <x:v>24.2852558254</x:v>
      </x:c>
      <x:c r="I9" s="10" t="n">
        <x:v>24.2852558254</x:v>
      </x:c>
      <x:c r="J9" s="9" t="n">
        <x:v>-568135.62</x:v>
      </x:c>
      <x:c r="K9" s="2" t="str">
        <x:v>连续两年净亏损</x:v>
      </x:c>
      <x:c r="L9" s="10" t="n">
        <x:v>14.1736526946</x:v>
      </x:c>
      <x:c r="M9" s="10" t="n">
        <x:v>9.9924350273</x:v>
      </x:c>
      <x:c r="N9" s="9" t="n">
        <x:v>3024251.43</x:v>
      </x:c>
    </x:row>
    <x:row r="10" ht="27" customHeight="1">
      <x:c r="A10" s="2" t="str">
        <x:v>PROD10501</x:v>
      </x:c>
      <x:c r="B10" s="2" t="str">
        <x:v>Electronics</x:v>
      </x:c>
      <x:c r="C10" s="2" t="str">
        <x:v>Loke, Deluxe Smartphone</x:v>
      </x:c>
      <x:c r="D10" s="9" t="n">
        <x:v>14969285.1</x:v>
      </x:c>
      <x:c r="E10" s="9" t="n">
        <x:v>15746861.25</x:v>
      </x:c>
      <x:c r="F10" s="9" t="n">
        <x:v>-777576.15</x:v>
      </x:c>
      <x:c r="G10" s="9" t="n">
        <x:v>777576.15</x:v>
      </x:c>
      <x:c r="H10" s="10" t="n">
        <x:v>14.9223174845</x:v>
      </x:c>
      <x:c r="I10" s="10" t="n">
        <x:v>39.2075733099</x:v>
      </x:c>
      <x:c r="J10" s="9" t="n">
        <x:v>-293024.49</x:v>
      </x:c>
      <x:c r="K10" s="2" t="str">
        <x:v>连续两年净亏损</x:v>
      </x:c>
      <x:c r="L10" s="10" t="n">
        <x:v>13.2026666667</x:v>
      </x:c>
      <x:c r="M10" s="10" t="n">
        <x:v>8.6939986954</x:v>
      </x:c>
      <x:c r="N10" s="9" t="n">
        <x:v>1499388.75</x:v>
      </x:c>
    </x:row>
    <x:row r="11" ht="27" customHeight="1">
      <x:c r="A11" s="2" t="str">
        <x:v>PROD10306</x:v>
      </x:c>
      <x:c r="B11" s="2" t="str">
        <x:v>Electronics</x:v>
      </x:c>
      <x:c r="C11" s="2" t="str">
        <x:v>Handa Advanced Laptop</x:v>
      </x:c>
      <x:c r="D11" s="9" t="n">
        <x:v>20352074.4</x:v>
      </x:c>
      <x:c r="E11" s="9" t="n">
        <x:v>21106337.76</x:v>
      </x:c>
      <x:c r="F11" s="9" t="n">
        <x:v>-754263.36</x:v>
      </x:c>
      <x:c r="G11" s="9" t="n">
        <x:v>754263.36</x:v>
      </x:c>
      <x:c r="H11" s="10" t="n">
        <x:v>14.4749261212</x:v>
      </x:c>
      <x:c r="I11" s="10" t="n">
        <x:v>53.6824994311</x:v>
      </x:c>
      <x:c r="J11" s="9" t="n">
        <x:v>-333536.48</x:v>
      </x:c>
      <x:c r="K11" s="2" t="str">
        <x:v>连续两年净亏损</x:v>
      </x:c>
      <x:c r="L11" s="10" t="n">
        <x:v>12.5098039216</x:v>
      </x:c>
      <x:c r="M11" s="10" t="n">
        <x:v>9.2673506972</x:v>
      </x:c>
      <x:c r="N11" s="9" t="n">
        <x:v>2155782.24</x:v>
      </x:c>
    </x:row>
    <x:row r="12" ht="27" customHeight="1">
      <x:c r="A12" s="2" t="str">
        <x:v>PROD10072</x:v>
      </x:c>
      <x:c r="B12" s="2" t="str">
        <x:v>Electronics</x:v>
      </x:c>
      <x:c r="C12" s="2" t="str">
        <x:v>Boase, Essential Tablet</x:v>
      </x:c>
      <x:c r="D12" s="9" t="n">
        <x:v>12474364.8</x:v>
      </x:c>
      <x:c r="E12" s="9" t="n">
        <x:v>13128840.97</x:v>
      </x:c>
      <x:c r="F12" s="9" t="n">
        <x:v>-654476.17</x:v>
      </x:c>
      <x:c r="G12" s="9" t="n">
        <x:v>654476.17</x:v>
      </x:c>
      <x:c r="H12" s="10" t="n">
        <x:v>12.5599289469</x:v>
      </x:c>
      <x:c r="I12" s="10" t="n">
        <x:v>66.242428378</x:v>
      </x:c>
      <x:c r="J12" s="9" t="n">
        <x:v>-446534.69</x:v>
      </x:c>
      <x:c r="K12" s="2" t="str">
        <x:v>连续两年净亏损</x:v>
      </x:c>
      <x:c r="L12" s="10" t="n">
        <x:v>13.3319011815</x:v>
      </x:c>
      <x:c r="M12" s="10" t="n">
        <x:v>8.7847994825</x:v>
      </x:c>
      <x:c r="N12" s="9" t="n">
        <x:v>1264419.03</x:v>
      </x:c>
    </x:row>
    <x:row r="13" ht="27" customHeight="1">
      <x:c r="A13" s="2" t="str">
        <x:v>PROD10421</x:v>
      </x:c>
      <x:c r="B13" s="2" t="str">
        <x:v>Electronics</x:v>
      </x:c>
      <x:c r="C13" s="2" t="str">
        <x:v>Mody-Kari Basic Smartphone</x:v>
      </x:c>
      <x:c r="D13" s="9" t="n">
        <x:v>18443337.3</x:v>
      </x:c>
      <x:c r="E13" s="9" t="n">
        <x:v>18989786.16</x:v>
      </x:c>
      <x:c r="F13" s="9" t="n">
        <x:v>-546448.86</x:v>
      </x:c>
      <x:c r="G13" s="9" t="n">
        <x:v>546448.86</x:v>
      </x:c>
      <x:c r="H13" s="10" t="n">
        <x:v>10.4867971812</x:v>
      </x:c>
      <x:c r="I13" s="10" t="n">
        <x:v>76.7292255591</x:v>
      </x:c>
      <x:c r="J13" s="9" t="n">
        <x:v>-349015.17</x:v>
      </x:c>
      <x:c r="K13" s="2" t="str">
        <x:v>连续两年净亏损</x:v>
      </x:c>
      <x:c r="L13" s="10" t="n">
        <x:v>12.4240506329</x:v>
      </x:c>
      <x:c r="M13" s="10" t="n">
        <x:v>9.829304524</x:v>
      </x:c>
      <x:c r="N13" s="9" t="n">
        <x:v>2070033.84</x:v>
      </x:c>
    </x:row>
    <x:row r="14" ht="27" customHeight="1">
      <x:c r="A14" s="2" t="str">
        <x:v>PROD10152</x:v>
      </x:c>
      <x:c r="B14" s="2" t="str">
        <x:v>Electronics</x:v>
      </x:c>
      <x:c r="C14" s="2" t="str">
        <x:v>Behl-Chanda Advanced Camera</x:v>
      </x:c>
      <x:c r="D14" s="9" t="n">
        <x:v>6925863.75</x:v>
      </x:c>
      <x:c r="E14" s="9" t="n">
        <x:v>7248510.56</x:v>
      </x:c>
      <x:c r="F14" s="9" t="n">
        <x:v>-322646.81</x:v>
      </x:c>
      <x:c r="G14" s="9" t="n">
        <x:v>322646.81</x:v>
      </x:c>
      <x:c r="H14" s="10" t="n">
        <x:v>6.1918541794</x:v>
      </x:c>
      <x:c r="I14" s="10" t="n">
        <x:v>82.9210797385</x:v>
      </x:c>
      <x:c r="J14" s="9" t="n">
        <x:v>-216760.91</x:v>
      </x:c>
      <x:c r="K14" s="2" t="str">
        <x:v>连续两年净亏损</x:v>
      </x:c>
      <x:c r="L14" s="10" t="n">
        <x:v>12.7330398757</x:v>
      </x:c>
      <x:c r="M14" s="10" t="n">
        <x:v>8.6676399027</x:v>
      </x:c>
      <x:c r="N14" s="9" t="n">
        <x:v>687899.44</x:v>
      </x:c>
    </x:row>
    <x:row r="15" ht="27" customHeight="1">
      <x:c r="A15" s="2" t="str">
        <x:v>PROD10182</x:v>
      </x:c>
      <x:c r="B15" s="2" t="str">
        <x:v>Electronics</x:v>
      </x:c>
      <x:c r="C15" s="2" t="str">
        <x:v>Sen Premium Laptop</x:v>
      </x:c>
      <x:c r="D15" s="9" t="n">
        <x:v>3734390.55</x:v>
      </x:c>
      <x:c r="E15" s="9" t="n">
        <x:v>3906344.52</x:v>
      </x:c>
      <x:c r="F15" s="9" t="n">
        <x:v>-171953.97</x:v>
      </x:c>
      <x:c r="G15" s="9" t="n">
        <x:v>171953.97</x:v>
      </x:c>
      <x:c r="H15" s="10" t="n">
        <x:v>3.299936261</x:v>
      </x:c>
      <x:c r="I15" s="10" t="n">
        <x:v>86.2210159995</x:v>
      </x:c>
      <x:c r="J15" s="9" t="n">
        <x:v>-113861.3</x:v>
      </x:c>
      <x:c r="K15" s="2" t="str">
        <x:v>连续两年净亏损</x:v>
      </x:c>
      <x:c r="L15" s="10" t="n">
        <x:v>13.2980769231</x:v>
      </x:c>
      <x:c r="M15" s="10" t="n">
        <x:v>9.3057950018</x:v>
      </x:c>
      <x:c r="N15" s="9" t="n">
        <x:v>400815.48</x:v>
      </x:c>
    </x:row>
    <x:row r="16" ht="27" customHeight="1">
      <x:c r="A16" s="2" t="str">
        <x:v>PROD10176</x:v>
      </x:c>
      <x:c r="B16" s="2" t="str">
        <x:v>Electronics</x:v>
      </x:c>
      <x:c r="C16" s="2" t="str">
        <x:v>Gola Advanced Smartwatche</x:v>
      </x:c>
      <x:c r="D16" s="9" t="n">
        <x:v>8269919.1</x:v>
      </x:c>
      <x:c r="E16" s="9" t="n">
        <x:v>8435428.56</x:v>
      </x:c>
      <x:c r="F16" s="9" t="n">
        <x:v>-165509.46</x:v>
      </x:c>
      <x:c r="G16" s="9" t="n">
        <x:v>165509.46</x:v>
      </x:c>
      <x:c r="H16" s="10" t="n">
        <x:v>3.176260883</x:v>
      </x:c>
      <x:c r="I16" s="10" t="n">
        <x:v>89.3972768825</x:v>
      </x:c>
      <x:c r="J16" s="9" t="n">
        <x:v>-58753.44</x:v>
      </x:c>
      <x:c r="K16" s="2" t="str">
        <x:v>连续两年净亏损</x:v>
      </x:c>
      <x:c r="L16" s="10" t="n">
        <x:v>12.7071078431</x:v>
      </x:c>
      <x:c r="M16" s="10" t="n">
        <x:v>10.9600775194</x:v>
      </x:c>
      <x:c r="N16" s="9" t="n">
        <x:v>1038331.44</x:v>
      </x:c>
    </x:row>
    <x:row r="17" ht="27" customHeight="1">
      <x:c r="A17" s="2" t="str">
        <x:v>PROD10432</x:v>
      </x:c>
      <x:c r="B17" s="2" t="str">
        <x:v>Appliances</x:v>
      </x:c>
      <x:c r="C17" s="2" t="str">
        <x:v>Gola Essential Fans &amp; Cooler</x:v>
      </x:c>
      <x:c r="D17" s="9" t="n">
        <x:v>19959457.65</x:v>
      </x:c>
      <x:c r="E17" s="9" t="n">
        <x:v>20053406.1</x:v>
      </x:c>
      <x:c r="F17" s="9" t="n">
        <x:v>-93948.45</x:v>
      </x:c>
      <x:c r="G17" s="9" t="n">
        <x:v>93948.45</x:v>
      </x:c>
      <x:c r="H17" s="10" t="n">
        <x:v>1.8029470144</x:v>
      </x:c>
      <x:c r="I17" s="10" t="n">
        <x:v>91.2002238969</x:v>
      </x:c>
      <x:c r="J17" s="9" t="n">
        <x:v>-69525.96</x:v>
      </x:c>
      <x:c r="K17" s="2" t="str">
        <x:v>连续两年净亏损</x:v>
      </x:c>
      <x:c r="L17" s="10" t="n">
        <x:v>13.3602564103</x:v>
      </x:c>
      <x:c r="M17" s="10" t="n">
        <x:v>12.9524462502</x:v>
      </x:c>
      <x:c r="N17" s="9" t="n">
        <x:v>2983893.9</x:v>
      </x:c>
    </x:row>
    <x:row r="18" ht="27" customHeight="1">
      <x:c r="A18" s="2" t="str">
        <x:v>PROD10517</x:v>
      </x:c>
      <x:c r="B18" s="2" t="str">
        <x:v>Electronics</x:v>
      </x:c>
      <x:c r="C18" s="2" t="str">
        <x:v>Mital, Classic Speaker</x:v>
      </x:c>
      <x:c r="D18" s="9" t="n">
        <x:v>1534314.6</x:v>
      </x:c>
      <x:c r="E18" s="9" t="n">
        <x:v>1612344.6</x:v>
      </x:c>
      <x:c r="F18" s="9" t="n">
        <x:v>-78030</x:v>
      </x:c>
      <x:c r="G18" s="9" t="n">
        <x:v>78030</x:v>
      </x:c>
      <x:c r="H18" s="10" t="n">
        <x:v>1.4974590377</x:v>
      </x:c>
      <x:c r="I18" s="10" t="n">
        <x:v>92.6976829346</x:v>
      </x:c>
      <x:c r="J18" s="9" t="n">
        <x:v>-70856.3</x:v>
      </x:c>
      <x:c r="K18" s="2" t="str">
        <x:v>连续两年净亏损</x:v>
      </x:c>
      <x:c r="L18" s="10" t="n">
        <x:v>13</x:v>
      </x:c>
      <x:c r="M18" s="10" t="n">
        <x:v>8.5754771544</x:v>
      </x:c>
      <x:c r="N18" s="9" t="n">
        <x:v>151235.4</x:v>
      </x:c>
    </x:row>
    <x:row r="19" ht="27" customHeight="1">
      <x:c r="A19" s="2" t="str">
        <x:v>PROD10034</x:v>
      </x:c>
      <x:c r="B19" s="2" t="str">
        <x:v>Electronics</x:v>
      </x:c>
      <x:c r="C19" s="2" t="str">
        <x:v>Apte-Contractor Deluxe Smartwatche</x:v>
      </x:c>
      <x:c r="D19" s="9" t="n">
        <x:v>2190521.4</x:v>
      </x:c>
      <x:c r="E19" s="9" t="n">
        <x:v>2265382.59</x:v>
      </x:c>
      <x:c r="F19" s="9" t="n">
        <x:v>-74861.19</x:v>
      </x:c>
      <x:c r="G19" s="9" t="n">
        <x:v>74861.19</x:v>
      </x:c>
      <x:c r="H19" s="10" t="n">
        <x:v>1.4366470016</x:v>
      </x:c>
      <x:c r="I19" s="10" t="n">
        <x:v>94.1343299362</x:v>
      </x:c>
      <x:c r="J19" s="9" t="n">
        <x:v>-39588.29</x:v>
      </x:c>
      <x:c r="K19" s="2" t="str">
        <x:v>连续两年净亏损</x:v>
      </x:c>
      <x:c r="L19" s="10" t="n">
        <x:v>13.0604026846</x:v>
      </x:c>
      <x:c r="M19" s="10" t="n">
        <x:v>10.0892371378</x:v>
      </x:c>
      <x:c r="N19" s="9" t="n">
        <x:v>254207.41</x:v>
      </x:c>
    </x:row>
    <x:row r="20" ht="27" customHeight="1">
      <x:c r="A20" s="2" t="str">
        <x:v>PROD10063</x:v>
      </x:c>
      <x:c r="B20" s="2" t="str">
        <x:v>Electronics</x:v>
      </x:c>
      <x:c r="C20" s="2" t="str">
        <x:v>Dara-Kota Compact Smartwatche</x:v>
      </x:c>
      <x:c r="D20" s="9" t="n">
        <x:v>3164896.8</x:v>
      </x:c>
      <x:c r="E20" s="9" t="n">
        <x:v>3219207.9</x:v>
      </x:c>
      <x:c r="F20" s="9" t="n">
        <x:v>-54311.1</x:v>
      </x:c>
      <x:c r="G20" s="9" t="n">
        <x:v>54311.1</x:v>
      </x:c>
      <x:c r="H20" s="10" t="n">
        <x:v>1.0422740938</x:v>
      </x:c>
      <x:c r="I20" s="10" t="n">
        <x:v>95.1766040301</x:v>
      </x:c>
      <x:c r="J20" s="9" t="n">
        <x:v>-140631.2</x:v>
      </x:c>
      <x:c r="K20" s="2" t="str">
        <x:v>连续两年净亏损</x:v>
      </x:c>
      <x:c r="L20" s="10" t="n">
        <x:v>9.7049180328</x:v>
      </x:c>
      <x:c r="M20" s="10" t="n">
        <x:v>8.1554124608</x:v>
      </x:c>
      <x:c r="N20" s="9" t="n">
        <x:v>285852.1</x:v>
      </x:c>
    </x:row>
    <x:row r="21" ht="27" customHeight="1">
      <x:c r="A21" s="2" t="str">
        <x:v>PROD10252</x:v>
      </x:c>
      <x:c r="B21" s="2" t="str">
        <x:v>Electronics</x:v>
      </x:c>
      <x:c r="C21" s="2" t="str">
        <x:v>Madan-Kanda Deluxe Speaker</x:v>
      </x:c>
      <x:c r="D21" s="9" t="n">
        <x:v>2905900.8</x:v>
      </x:c>
      <x:c r="E21" s="9" t="n">
        <x:v>2956988.32</x:v>
      </x:c>
      <x:c r="F21" s="9" t="n">
        <x:v>-51087.52</x:v>
      </x:c>
      <x:c r="G21" s="9" t="n">
        <x:v>51087.52</x:v>
      </x:c>
      <x:c r="H21" s="10" t="n">
        <x:v>0.980410977</x:v>
      </x:c>
      <x:c r="I21" s="10" t="n">
        <x:v>96.1570150071</x:v>
      </x:c>
      <x:c r="J21" s="9" t="n">
        <x:v>-10626.08</x:v>
      </x:c>
      <x:c r="K21" s="2" t="str">
        <x:v>连续两年净亏损</x:v>
      </x:c>
      <x:c r="L21" s="10" t="n">
        <x:v>14.7169421488</x:v>
      </x:c>
      <x:c r="M21" s="10" t="n">
        <x:v>13.2176136364</x:v>
      </x:c>
      <x:c r="N21" s="9" t="n">
        <x:v>450371.68</x:v>
      </x:c>
    </x:row>
    <x:row r="22" ht="27" customHeight="1">
      <x:c r="A22" s="2" t="str">
        <x:v>PROD10355</x:v>
      </x:c>
      <x:c r="B22" s="2" t="str">
        <x:v>Appliances</x:v>
      </x:c>
      <x:c r="C22" s="2" t="str">
        <x:v>Memon Everyday Fans &amp; Cooler</x:v>
      </x:c>
      <x:c r="D22" s="9" t="n">
        <x:v>3727773</x:v>
      </x:c>
      <x:c r="E22" s="9" t="n">
        <x:v>3775352.49</x:v>
      </x:c>
      <x:c r="F22" s="9" t="n">
        <x:v>-47579.49</x:v>
      </x:c>
      <x:c r="G22" s="9" t="n">
        <x:v>47579.49</x:v>
      </x:c>
      <x:c r="H22" s="10" t="n">
        <x:v>0.9130890338</x:v>
      </x:c>
      <x:c r="I22" s="10" t="n">
        <x:v>97.0701040409</x:v>
      </x:c>
      <x:c r="J22" s="9" t="n">
        <x:v>-7893.9</x:v>
      </x:c>
      <x:c r="K22" s="2" t="str">
        <x:v>连续两年净亏损</x:v>
      </x:c>
      <x:c r="L22" s="10" t="n">
        <x:v>13.0349794239</x:v>
      </x:c>
      <x:c r="M22" s="10" t="n">
        <x:v>11.925</x:v>
      </x:c>
      <x:c r="N22" s="9" t="n">
        <x:v>511167.51</x:v>
      </x:c>
    </x:row>
    <x:row r="23" ht="27" customHeight="1">
      <x:c r="A23" s="2" t="str">
        <x:v>PROD10179</x:v>
      </x:c>
      <x:c r="B23" s="2" t="str">
        <x:v>Electronics</x:v>
      </x:c>
      <x:c r="C23" s="2" t="str">
        <x:v>Chander Compact Smartphone</x:v>
      </x:c>
      <x:c r="D23" s="9" t="n">
        <x:v>1217984.55</x:v>
      </x:c>
      <x:c r="E23" s="9" t="n">
        <x:v>1251557.08</x:v>
      </x:c>
      <x:c r="F23" s="9" t="n">
        <x:v>-33572.53</x:v>
      </x:c>
      <x:c r="G23" s="9" t="n">
        <x:v>33572.53</x:v>
      </x:c>
      <x:c r="H23" s="10" t="n">
        <x:v>0.6442841018</x:v>
      </x:c>
      <x:c r="I23" s="10" t="n">
        <x:v>97.7143881428</x:v>
      </x:c>
      <x:c r="J23" s="9" t="n">
        <x:v>-3584.56</x:v>
      </x:c>
      <x:c r="K23" s="2" t="str">
        <x:v>连续两年净亏损</x:v>
      </x:c>
      <x:c r="L23" s="10" t="n">
        <x:v>13.9488950276</x:v>
      </x:c>
      <x:c r="M23" s="10" t="n">
        <x:v>11.5769820972</x:v>
      </x:c>
      <x:c r="N23" s="9" t="n">
        <x:v>163862.92</x:v>
      </x:c>
    </x:row>
    <x:row r="24" ht="27" customHeight="1">
      <x:c r="A24" s="2" t="str">
        <x:v>PROD10180</x:v>
      </x:c>
      <x:c r="B24" s="2" t="str">
        <x:v>Appliances</x:v>
      </x:c>
      <x:c r="C24" s="2" t="str">
        <x:v>Nair, Essential Air Conditioner</x:v>
      </x:c>
      <x:c r="D24" s="9" t="n">
        <x:v>1906166.4</x:v>
      </x:c>
      <x:c r="E24" s="9" t="n">
        <x:v>1939040.5</x:v>
      </x:c>
      <x:c r="F24" s="9" t="n">
        <x:v>-32874.1</x:v>
      </x:c>
      <x:c r="G24" s="9" t="n">
        <x:v>32874.1</x:v>
      </x:c>
      <x:c r="H24" s="10" t="n">
        <x:v>0.6308806632</x:v>
      </x:c>
      <x:c r="I24" s="10" t="n">
        <x:v>98.345268806</x:v>
      </x:c>
      <x:c r="J24" s="9" t="n">
        <x:v>-38185</x:v>
      </x:c>
      <x:c r="K24" s="2" t="str">
        <x:v>连续两年净亏损</x:v>
      </x:c>
      <x:c r="L24" s="10" t="n">
        <x:v>12.5836298932</x:v>
      </x:c>
      <x:c r="M24" s="10" t="n">
        <x:v>11.0760309278</x:v>
      </x:c>
      <x:c r="N24" s="9" t="n">
        <x:v>241519.5</x:v>
      </x:c>
    </x:row>
    <x:row r="25" ht="27" customHeight="1">
      <x:c r="A25" s="2" t="str">
        <x:v>PROD10466</x:v>
      </x:c>
      <x:c r="B25" s="2" t="str">
        <x:v>Electronics</x:v>
      </x:c>
      <x:c r="C25" s="2" t="str">
        <x:v>Krish, Classic Camera</x:v>
      </x:c>
      <x:c r="D25" s="9" t="n">
        <x:v>1152957</x:v>
      </x:c>
      <x:c r="E25" s="9" t="n">
        <x:v>1182547.8</x:v>
      </x:c>
      <x:c r="F25" s="9" t="n">
        <x:v>-29590.8</x:v>
      </x:c>
      <x:c r="G25" s="9" t="n">
        <x:v>29590.8</x:v>
      </x:c>
      <x:c r="H25" s="10" t="n">
        <x:v>0.5678714711</x:v>
      </x:c>
      <x:c r="I25" s="10" t="n">
        <x:v>98.9131402771</x:v>
      </x:c>
      <x:c r="J25" s="9" t="n">
        <x:v>-57240.77</x:v>
      </x:c>
      <x:c r="K25" s="2" t="str">
        <x:v>连续两年净亏损</x:v>
      </x:c>
      <x:c r="L25" s="10" t="n">
        <x:v>10.1428571429</x:v>
      </x:c>
      <x:c r="M25" s="10" t="n">
        <x:v>7.8366612111</x:v>
      </x:c>
      <x:c r="N25" s="9" t="n">
        <x:v>100552.2</x:v>
      </x:c>
    </x:row>
    <x:row r="26" ht="27" customHeight="1">
      <x:c r="A26" s="2" t="str">
        <x:v>PROD10043</x:v>
      </x:c>
      <x:c r="B26" s="2" t="str">
        <x:v>Electronics</x:v>
      </x:c>
      <x:c r="C26" s="2" t="str">
        <x:v>Bajwa Compact Camera</x:v>
      </x:c>
      <x:c r="D26" s="9" t="n">
        <x:v>455149.6</x:v>
      </x:c>
      <x:c r="E26" s="9" t="n">
        <x:v>476087.7</x:v>
      </x:c>
      <x:c r="F26" s="9" t="n">
        <x:v>-20938.1</x:v>
      </x:c>
      <x:c r="G26" s="9" t="n">
        <x:v>20938.1</x:v>
      </x:c>
      <x:c r="H26" s="10" t="n">
        <x:v>0.4018191347</x:v>
      </x:c>
      <x:c r="I26" s="10" t="n">
        <x:v>99.3149594118</x:v>
      </x:c>
      <x:c r="J26" s="9" t="n">
        <x:v>-16916.91</x:v>
      </x:c>
      <x:c r="K26" s="2" t="str">
        <x:v>连续两年净亏损</x:v>
      </x:c>
      <x:c r="L26" s="10" t="n">
        <x:v>12.3363636364</x:v>
      </x:c>
      <x:c r="M26" s="10" t="n">
        <x:v>8.3036016949</x:v>
      </x:c>
      <x:c r="N26" s="9" t="n">
        <x:v>43112.3</x:v>
      </x:c>
    </x:row>
    <x:row r="27" ht="27" customHeight="1">
      <x:c r="A27" s="2" t="str">
        <x:v>PROD10113</x:v>
      </x:c>
      <x:c r="B27" s="2" t="str">
        <x:v>Electronics</x:v>
      </x:c>
      <x:c r="C27" s="2" t="str">
        <x:v>Nagy, Essential Smartphone</x:v>
      </x:c>
      <x:c r="D27" s="9" t="n">
        <x:v>482484.6</x:v>
      </x:c>
      <x:c r="E27" s="9" t="n">
        <x:v>495744.51</x:v>
      </x:c>
      <x:c r="F27" s="9" t="n">
        <x:v>-13259.91</x:v>
      </x:c>
      <x:c r="G27" s="9" t="n">
        <x:v>13259.91</x:v>
      </x:c>
      <x:c r="H27" s="10" t="n">
        <x:v>0.2544684361</x:v>
      </x:c>
      <x:c r="I27" s="10" t="n">
        <x:v>99.5694278479</x:v>
      </x:c>
      <x:c r="J27" s="9" t="n">
        <x:v>-4876.29</x:v>
      </x:c>
      <x:c r="K27" s="2" t="str">
        <x:v>连续两年净亏损</x:v>
      </x:c>
      <x:c r="L27" s="10" t="n">
        <x:v>13.5471698113</x:v>
      </x:c>
      <x:c r="M27" s="10" t="n">
        <x:v>11.1712250712</x:v>
      </x:c>
      <x:c r="N27" s="9" t="n">
        <x:v>62345.49</x:v>
      </x:c>
    </x:row>
    <x:row r="28" ht="27" customHeight="1">
      <x:c r="A28" s="2" t="str">
        <x:v>PROD10531</x:v>
      </x:c>
      <x:c r="B28" s="2" t="str">
        <x:v>Electronics</x:v>
      </x:c>
      <x:c r="C28" s="2" t="str">
        <x:v>Yohannan, Compact Tablet</x:v>
      </x:c>
      <x:c r="D28" s="9" t="n">
        <x:v>1299247.35</x:v>
      </x:c>
      <x:c r="E28" s="9" t="n">
        <x:v>1309117.37</x:v>
      </x:c>
      <x:c r="F28" s="9" t="n">
        <x:v>-9870.02</x:v>
      </x:c>
      <x:c r="G28" s="9" t="n">
        <x:v>9870.02</x:v>
      </x:c>
      <x:c r="H28" s="10" t="n">
        <x:v>0.1894136954</x:v>
      </x:c>
      <x:c r="I28" s="10" t="n">
        <x:v>99.7588415433</x:v>
      </x:c>
      <x:c r="J28" s="9" t="n">
        <x:v>-19255.69</x:v>
      </x:c>
      <x:c r="K28" s="2" t="str">
        <x:v>连续两年净亏损</x:v>
      </x:c>
      <x:c r="L28" s="10" t="n">
        <x:v>12.2420718816</x:v>
      </x:c>
      <x:c r="M28" s="10" t="n">
        <x:v>11.575399361</x:v>
      </x:c>
      <x:c r="N28" s="9" t="n">
        <x:v>171372.63</x:v>
      </x:c>
    </x:row>
    <x:row r="29" ht="27" customHeight="1">
      <x:c r="A29" s="2" t="str">
        <x:v>PROD10408</x:v>
      </x:c>
      <x:c r="B29" s="2" t="str">
        <x:v>Grocery</x:v>
      </x:c>
      <x:c r="C29" s="2" t="str">
        <x:v>Kala-Vaidya Smart Snack</x:v>
      </x:c>
      <x:c r="D29" s="9" t="n">
        <x:v>430947.7</x:v>
      </x:c>
      <x:c r="E29" s="9" t="n">
        <x:v>436248.62</x:v>
      </x:c>
      <x:c r="F29" s="9" t="n">
        <x:v>-5300.92</x:v>
      </x:c>
      <x:c r="G29" s="9" t="n">
        <x:v>5300.92</x:v>
      </x:c>
      <x:c r="H29" s="10" t="n">
        <x:v>0.1017289576</x:v>
      </x:c>
      <x:c r="I29" s="10" t="n">
        <x:v>99.8605705009</x:v>
      </x:c>
      <x:c r="J29" s="9" t="n">
        <x:v>-5879.97</x:v>
      </x:c>
      <x:c r="K29" s="2" t="str">
        <x:v>连续两年净亏损</x:v>
      </x:c>
      <x:c r="L29" s="10" t="n">
        <x:v>12.8412547529</x:v>
      </x:c>
      <x:c r="M29" s="10" t="n">
        <x:v>11.7691489362</x:v>
      </x:c>
      <x:c r="N29" s="9" t="n">
        <x:v>58191.38</x:v>
      </x:c>
    </x:row>
    <x:row r="30" ht="27" customHeight="1">
      <x:c r="A30" s="2" t="str">
        <x:v>PROD10530</x:v>
      </x:c>
      <x:c r="B30" s="2" t="str">
        <x:v>Appliances</x:v>
      </x:c>
      <x:c r="C30" s="2" t="str">
        <x:v>Pant-Kadakia Compact Large Appliance</x:v>
      </x:c>
      <x:c r="D30" s="9" t="n">
        <x:v>55236.8</x:v>
      </x:c>
      <x:c r="E30" s="9" t="n">
        <x:v>59306.5</x:v>
      </x:c>
      <x:c r="F30" s="9" t="n">
        <x:v>-4069.7</x:v>
      </x:c>
      <x:c r="G30" s="9" t="n">
        <x:v>4069.7</x:v>
      </x:c>
      <x:c r="H30" s="10" t="n">
        <x:v>0.0781008464</x:v>
      </x:c>
      <x:c r="I30" s="10" t="n">
        <x:v>99.9386713473</x:v>
      </x:c>
      <x:c r="J30" s="9" t="n">
        <x:v>690.15</x:v>
      </x:c>
      <x:c r="K30" s="2" t="str">
        <x:v>2025转为净亏损</x:v>
      </x:c>
      <x:c r="L30" s="10" t="n">
        <x:v>20.5454545455</x:v>
      </x:c>
      <x:c r="M30" s="10" t="n">
        <x:v>14.6914556962</x:v>
      </x:c>
      <x:c r="N30" s="9" t="n">
        <x:v>10213.5</x:v>
      </x:c>
    </x:row>
    <x:row r="31" ht="27" customHeight="1">
      <x:c r="A31" s="2" t="str">
        <x:v>PROD10533</x:v>
      </x:c>
      <x:c r="B31" s="2" t="str">
        <x:v>Electronics</x:v>
      </x:c>
      <x:c r="C31" s="2" t="str">
        <x:v>Yadav, Essential Headphone</x:v>
      </x:c>
      <x:c r="D31" s="9" t="n">
        <x:v>353801.25</x:v>
      </x:c>
      <x:c r="E31" s="9" t="n">
        <x:v>355209.6</x:v>
      </x:c>
      <x:c r="F31" s="9" t="n">
        <x:v>-1408.35</x:v>
      </x:c>
      <x:c r="G31" s="9" t="n">
        <x:v>1408.35</x:v>
      </x:c>
      <x:c r="H31" s="10" t="n">
        <x:v>0.0270273797</x:v>
      </x:c>
      <x:c r="I31" s="10" t="n">
        <x:v>99.965698727</x:v>
      </x:c>
      <x:c r="J31" s="9" t="n">
        <x:v>668.63</x:v>
      </x:c>
      <x:c r="K31" s="2" t="str">
        <x:v>2025转为净亏损</x:v>
      </x:c>
      <x:c r="L31" s="10" t="n">
        <x:v>12.6416666667</x:v>
      </x:c>
      <x:c r="M31" s="10" t="n">
        <x:v>12.2939259259</x:v>
      </x:c>
      <x:c r="N31" s="9" t="n">
        <x:v>49790.4</x:v>
      </x:c>
    </x:row>
    <x:row r="32" ht="27" customHeight="1">
      <x:c r="A32" s="2" t="str">
        <x:v>PROD10529</x:v>
      </x:c>
      <x:c r="B32" s="2" t="str">
        <x:v>Grocery</x:v>
      </x:c>
      <x:c r="C32" s="2" t="str">
        <x:v>Karpe Smart Beverage</x:v>
      </x:c>
      <x:c r="D32" s="9" t="n">
        <x:v>16143</x:v>
      </x:c>
      <x:c r="E32" s="9" t="n">
        <x:v>16506.36</x:v>
      </x:c>
      <x:c r="F32" s="9" t="n">
        <x:v>-363.36</x:v>
      </x:c>
      <x:c r="G32" s="9" t="n">
        <x:v>363.36</x:v>
      </x:c>
      <x:c r="H32" s="10" t="n">
        <x:v>0.0069731733</x:v>
      </x:c>
      <x:c r="I32" s="10" t="n">
        <x:v>99.9726719003</x:v>
      </x:c>
      <x:c r="J32" s="9" t="n">
        <x:v>329.61</x:v>
      </x:c>
      <x:c r="K32" s="2" t="str">
        <x:v>2025转为净亏损</x:v>
      </x:c>
      <x:c r="L32" s="10" t="n">
        <x:v>13.766025641</x:v>
      </x:c>
      <x:c r="M32" s="10" t="n">
        <x:v>11.825</x:v>
      </x:c>
      <x:c r="N32" s="9" t="n">
        <x:v>2213.64</x:v>
      </x:c>
    </x:row>
    <x:row r="33" ht="27" customHeight="1">
      <x:c r="A33" s="2" t="str">
        <x:v>PROD10428</x:v>
      </x:c>
      <x:c r="B33" s="2" t="str">
        <x:v>Grocery</x:v>
      </x:c>
      <x:c r="C33" s="2" t="str">
        <x:v>Setty Ultra Packaged Food</x:v>
      </x:c>
      <x:c r="D33" s="9" t="n">
        <x:v>6944</x:v>
      </x:c>
      <x:c r="E33" s="9" t="n">
        <x:v>7300.46</x:v>
      </x:c>
      <x:c r="F33" s="9" t="n">
        <x:v>-356.46</x:v>
      </x:c>
      <x:c r="G33" s="9" t="n">
        <x:v>356.46</x:v>
      </x:c>
      <x:c r="H33" s="10" t="n">
        <x:v>0.0068407567</x:v>
      </x:c>
      <x:c r="I33" s="10" t="n">
        <x:v>99.9795126571</x:v>
      </x:c>
      <x:c r="J33" s="9" t="n">
        <x:v>-372.36</x:v>
      </x:c>
      <x:c r="K33" s="2" t="str">
        <x:v>连续两年净亏损</x:v>
      </x:c>
      <x:c r="L33" s="10" t="n">
        <x:v>15.3170731707</x:v>
      </x:c>
      <x:c r="M33" s="10" t="n">
        <x:v>10.97</x:v>
      </x:c>
      <x:c r="N33" s="9" t="n">
        <x:v>899.54</x:v>
      </x:c>
    </x:row>
    <x:row r="34" ht="27" customHeight="1">
      <x:c r="A34" s="2" t="str">
        <x:v>PROD10137</x:v>
      </x:c>
      <x:c r="B34" s="2" t="str">
        <x:v>Grocery</x:v>
      </x:c>
      <x:c r="C34" s="2" t="str">
        <x:v>Chanda Smart Beverage</x:v>
      </x:c>
      <x:c r="D34" s="9" t="n">
        <x:v>28179</x:v>
      </x:c>
      <x:c r="E34" s="9" t="n">
        <x:v>28529.6</x:v>
      </x:c>
      <x:c r="F34" s="9" t="n">
        <x:v>-350.6</x:v>
      </x:c>
      <x:c r="G34" s="9" t="n">
        <x:v>350.6</x:v>
      </x:c>
      <x:c r="H34" s="10" t="n">
        <x:v>0.0067282986</x:v>
      </x:c>
      <x:c r="I34" s="10" t="n">
        <x:v>99.9862409556</x:v>
      </x:c>
      <x:c r="J34" s="9" t="n">
        <x:v>-137.2</x:v>
      </x:c>
      <x:c r="K34" s="2" t="str">
        <x:v>连续两年净亏损</x:v>
      </x:c>
      <x:c r="L34" s="10" t="n">
        <x:v>14.6090909091</x:v>
      </x:c>
      <x:c r="M34" s="10" t="n">
        <x:v>13.5466666667</x:v>
      </x:c>
      <x:c r="N34" s="9" t="n">
        <x:v>4470.4</x:v>
      </x:c>
    </x:row>
    <x:row r="35" ht="27" customHeight="1">
      <x:c r="A35" s="2" t="str">
        <x:v>PROD10086</x:v>
      </x:c>
      <x:c r="B35" s="2" t="str">
        <x:v>Grocery</x:v>
      </x:c>
      <x:c r="C35" s="2" t="str">
        <x:v>Sankar Classic Dairy</x:v>
      </x:c>
      <x:c r="D35" s="9" t="n">
        <x:v>19175.6</x:v>
      </x:c>
      <x:c r="E35" s="9" t="n">
        <x:v>19407.18</x:v>
      </x:c>
      <x:c r="F35" s="9" t="n">
        <x:v>-231.58</x:v>
      </x:c>
      <x:c r="G35" s="9" t="n">
        <x:v>231.58</x:v>
      </x:c>
      <x:c r="H35" s="10" t="n">
        <x:v>0.0044442082</x:v>
      </x:c>
      <x:c r="I35" s="10" t="n">
        <x:v>99.9906851638</x:v>
      </x:c>
      <x:c r="J35" s="9" t="n">
        <x:v>-165.62</x:v>
      </x:c>
      <x:c r="K35" s="2" t="str">
        <x:v>连续两年净亏损</x:v>
      </x:c>
      <x:c r="L35" s="10" t="n">
        <x:v>13.7787769784</x:v>
      </x:c>
      <x:c r="M35" s="10" t="n">
        <x:v>12.7375</x:v>
      </x:c>
      <x:c r="N35" s="9" t="n">
        <x:v>2832.82</x:v>
      </x:c>
    </x:row>
    <x:row r="36" ht="27" customHeight="1">
      <x:c r="A36" s="2" t="str">
        <x:v>PROD10054</x:v>
      </x:c>
      <x:c r="B36" s="2" t="str">
        <x:v>Appliances</x:v>
      </x:c>
      <x:c r="C36" s="2" t="str">
        <x:v>Thaman-Sandhu Smart Kitchen Appliance</x:v>
      </x:c>
      <x:c r="D36" s="9" t="n">
        <x:v>782882.1</x:v>
      </x:c>
      <x:c r="E36" s="9" t="n">
        <x:v>783096.6</x:v>
      </x:c>
      <x:c r="F36" s="9" t="n">
        <x:v>-214.5</x:v>
      </x:c>
      <x:c r="G36" s="9" t="n">
        <x:v>214.5</x:v>
      </x:c>
      <x:c r="H36" s="10" t="n">
        <x:v>0.0041164291</x:v>
      </x:c>
      <x:c r="I36" s="10" t="n">
        <x:v>99.9948015929</x:v>
      </x:c>
      <x:c r="J36" s="9" t="n">
        <x:v>49542.35</x:v>
      </x:c>
      <x:c r="K36" s="2" t="str">
        <x:v>2025转为净亏损</x:v>
      </x:c>
      <x:c r="L36" s="10" t="n">
        <x:v>17.05</x:v>
      </x:c>
      <x:c r="M36" s="10" t="n">
        <x:v>17.0272727273</x:v>
      </x:c>
      <x:c r="N36" s="9" t="n">
        <x:v>160703.4</x:v>
      </x:c>
    </x:row>
    <x:row r="37" ht="27" customHeight="1">
      <x:c r="A37" s="2" t="str">
        <x:v>PROD10014</x:v>
      </x:c>
      <x:c r="B37" s="2" t="str">
        <x:v>Grocery</x:v>
      </x:c>
      <x:c r="C37" s="2" t="str">
        <x:v>Handa Premium Packaged Food</x:v>
      </x:c>
      <x:c r="D37" s="9" t="n">
        <x:v>9688.75</x:v>
      </x:c>
      <x:c r="E37" s="9" t="n">
        <x:v>9815.18</x:v>
      </x:c>
      <x:c r="F37" s="9" t="n">
        <x:v>-126.43</x:v>
      </x:c>
      <x:c r="G37" s="9" t="n">
        <x:v>126.43</x:v>
      </x:c>
      <x:c r="H37" s="10" t="n">
        <x:v>0.0024262943</x:v>
      </x:c>
      <x:c r="I37" s="10" t="n">
        <x:v>99.9972278872</x:v>
      </x:c>
      <x:c r="J37" s="9" t="n">
        <x:v>0.64</x:v>
      </x:c>
      <x:c r="K37" s="2" t="str">
        <x:v>2025转为净亏损</x:v>
      </x:c>
      <x:c r="L37" s="10" t="n">
        <x:v>14.2588495575</x:v>
      </x:c>
      <x:c r="M37" s="10" t="n">
        <x:v>13.14</x:v>
      </x:c>
      <x:c r="N37" s="9" t="n">
        <x:v>1484.82</x:v>
      </x:c>
    </x:row>
    <x:row r="38" ht="27" customHeight="1">
      <x:c r="A38" s="2" t="str">
        <x:v>PROD10008</x:v>
      </x:c>
      <x:c r="B38" s="2" t="str">
        <x:v>Grocery</x:v>
      </x:c>
      <x:c r="C38" s="2" t="str">
        <x:v>Sabharwal-Kothari Signature Snack</x:v>
      </x:c>
      <x:c r="D38" s="9" t="n">
        <x:v>3400.2</x:v>
      </x:c>
      <x:c r="E38" s="9" t="n">
        <x:v>3465</x:v>
      </x:c>
      <x:c r="F38" s="9" t="n">
        <x:v>-64.8</x:v>
      </x:c>
      <x:c r="G38" s="9" t="n">
        <x:v>64.8</x:v>
      </x:c>
      <x:c r="H38" s="10" t="n">
        <x:v>0.0012435646</x:v>
      </x:c>
      <x:c r="I38" s="10" t="n">
        <x:v>99.9984714518</x:v>
      </x:c>
      <x:c r="J38" s="9" t="n">
        <x:v>-67.5</x:v>
      </x:c>
      <x:c r="K38" s="2" t="str">
        <x:v>连续两年净亏损</x:v>
      </x:c>
      <x:c r="L38" s="10" t="n">
        <x:v>14.1363636364</x:v>
      </x:c>
      <x:c r="M38" s="10" t="n">
        <x:v>12.5</x:v>
      </x:c>
      <x:c r="N38" s="9" t="n">
        <x:v>495</x:v>
      </x:c>
    </x:row>
    <x:row r="39" ht="27" customHeight="1">
      <x:c r="A39" s="2" t="str">
        <x:v>PROD10391</x:v>
      </x:c>
      <x:c r="B39" s="2" t="str">
        <x:v>Grocery</x:v>
      </x:c>
      <x:c r="C39" s="2" t="str">
        <x:v>Roy-Sibal Everyday Dairy</x:v>
      </x:c>
      <x:c r="D39" s="9" t="n">
        <x:v>1418</x:v>
      </x:c>
      <x:c r="E39" s="9" t="n">
        <x:v>1456.9</x:v>
      </x:c>
      <x:c r="F39" s="9" t="n">
        <x:v>-38.9</x:v>
      </x:c>
      <x:c r="G39" s="9" t="n">
        <x:v>38.9</x:v>
      </x:c>
      <x:c r="H39" s="10" t="n">
        <x:v>0.0007465226</x:v>
      </x:c>
      <x:c r="I39" s="10" t="n">
        <x:v>99.9992179744</x:v>
      </x:c>
      <x:c r="J39" s="9" t="n">
        <x:v>37.4</x:v>
      </x:c>
      <x:c r="K39" s="2" t="str">
        <x:v>2025转为净亏损</x:v>
      </x:c>
      <x:c r="L39" s="10" t="n">
        <x:v>16.5882352941</x:v>
      </x:c>
      <x:c r="M39" s="10" t="n">
        <x:v>14.3</x:v>
      </x:c>
      <x:c r="N39" s="9" t="n">
        <x:v>243.1</x:v>
      </x:c>
    </x:row>
    <x:row r="40" ht="27" customHeight="1">
      <x:c r="A40" s="2" t="str">
        <x:v>PROD10156</x:v>
      </x:c>
      <x:c r="B40" s="2" t="str">
        <x:v>Grocery</x:v>
      </x:c>
      <x:c r="C40" s="2" t="str">
        <x:v>Shanker-Dhar Signature Staple</x:v>
      </x:c>
      <x:c r="D40" s="9" t="n">
        <x:v>1036.8</x:v>
      </x:c>
      <x:c r="E40" s="9" t="n">
        <x:v>1065.12</x:v>
      </x:c>
      <x:c r="F40" s="9" t="n">
        <x:v>-28.32</x:v>
      </x:c>
      <x:c r="G40" s="9" t="n">
        <x:v>28.32</x:v>
      </x:c>
      <x:c r="H40" s="10" t="n">
        <x:v>0.0005434838</x:v>
      </x:c>
      <x:c r="I40" s="10" t="n">
        <x:v>99.9997614582</x:v>
      </x:c>
      <x:c r="J40" s="9" t="n">
        <x:v>14.97</x:v>
      </x:c>
      <x:c r="K40" s="2" t="str">
        <x:v>2025转为净亏损</x:v>
      </x:c>
      <x:c r="L40" s="10" t="n">
        <x:v>17.7142857143</x:v>
      </x:c>
      <x:c r="M40" s="10" t="n">
        <x:v>15.4666666667</x:v>
      </x:c>
      <x:c r="N40" s="9" t="n">
        <x:v>194.88</x:v>
      </x:c>
    </x:row>
    <x:row r="41" ht="27" customHeight="1">
      <x:c r="A41" s="2" t="str">
        <x:v>PROD10204</x:v>
      </x:c>
      <x:c r="B41" s="2" t="str">
        <x:v>Grocery</x:v>
      </x:c>
      <x:c r="C41" s="2" t="str">
        <x:v>Dara-Kota Classic Snack</x:v>
      </x:c>
      <x:c r="D41" s="9" t="n">
        <x:v>34606</x:v>
      </x:c>
      <x:c r="E41" s="9" t="n">
        <x:v>34618.43</x:v>
      </x:c>
      <x:c r="F41" s="9" t="n">
        <x:v>-12.43</x:v>
      </x:c>
      <x:c r="G41" s="9" t="n">
        <x:v>12.43</x:v>
      </x:c>
      <x:c r="H41" s="10" t="n">
        <x:v>0.0002385418</x:v>
      </x:c>
      <x:c r="I41" s="10" t="n">
        <x:v>100</x:v>
      </x:c>
      <x:c r="J41" s="9" t="n">
        <x:v>-462.2</x:v>
      </x:c>
      <x:c r="K41" s="2" t="str">
        <x:v>连续两年净亏损</x:v>
      </x:c>
      <x:c r="L41" s="10" t="n">
        <x:v>13.5714285714</x:v>
      </x:c>
      <x:c r="M41" s="10" t="n">
        <x:v>13.5403846154</x:v>
      </x:c>
      <x:c r="N41" s="9" t="n">
        <x:v>5421.57</x:v>
      </x:c>
    </x:row>
  </x:sheetData>
  <x:pageMargins left="0.7" right="0.7" top="0.75" bottom="0.75" header="0.3" footer="0.3"/>
  <x:tableParts count="1">
    <x:tablePart xmlns:r="http://schemas.openxmlformats.org/officeDocument/2006/relationships" r:id="R53c730794da5476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8" hidden="0" customWidth="1"/>
    <x:col min="2" max="2" width="26" hidden="0" customWidth="1"/>
    <x:col min="3" max="3" width="52" hidden="0" customWidth="1"/>
    <x:col min="4" max="4" width="16" hidden="0" customWidth="1"/>
    <x:col min="5" max="5" width="20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</x:cols>
  <x:sheetData>
    <x:row r="1" ht="34" customHeight="1">
      <x:c r="A1" s="3" t="str">
        <x:v>库存覆盖情景 2025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SKU数</x:v>
      </x:c>
      <x:c r="B3" s="2" t="n">
        <x:f>COUNTA(A9:A558)</x:f>
        <x:v>550</x:v>
      </x:c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26" customHeight="1">
      <x:c r="A5" s="2" t="str">
        <x:v>库存快照日期未知。覆盖天数只是库存÷历史日均销量，不能直接认定积压或下达补货；无销量记为无销量。</x:v>
      </x:c>
      <x:c r="B5" s="2"/>
      <x:c r="C5" s="2"/>
      <x:c r="D5" s="2"/>
      <x:c r="E5" s="2"/>
      <x:c r="F5" s="2"/>
      <x:c r="G5" s="2"/>
      <x:c r="H5" s="2"/>
      <x:c r="I5" s="2"/>
    </x:row>
    <x:row r="6" ht="26" customHeight="1">
      <x:c r="A6" s="2" t="str">
        <x:v>来源：products.stock_quantity及Delivered订单明细；窗口包含截止日，分别向前覆盖30和90天。</x:v>
      </x:c>
      <x:c r="B6" s="2"/>
      <x:c r="C6" s="2"/>
      <x:c r="D6" s="2"/>
      <x:c r="E6" s="2"/>
      <x:c r="F6" s="2"/>
      <x:c r="G6" s="2"/>
      <x:c r="H6" s="2"/>
      <x:c r="I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</x:row>
    <x:row r="8" ht="44" customHeight="1">
      <x:c r="A8" s="8" t="str">
        <x:v>商品ID</x:v>
      </x:c>
      <x:c r="B8" s="8" t="str">
        <x:v>category</x:v>
      </x:c>
      <x:c r="C8" s="8" t="str">
        <x:v>product_name</x:v>
      </x:c>
      <x:c r="D8" s="8" t="str">
        <x:v>快照库存</x:v>
      </x:c>
      <x:c r="E8" s="8" t="str">
        <x:v>销量截止日</x:v>
      </x:c>
      <x:c r="F8" s="8" t="str">
        <x:v>近30日销量</x:v>
      </x:c>
      <x:c r="G8" s="8" t="str">
        <x:v>近90日销量</x:v>
      </x:c>
      <x:c r="H8" s="8" t="str">
        <x:v>30日口径覆盖天数</x:v>
      </x:c>
      <x:c r="I8" s="8" t="str">
        <x:v>90日口径覆盖天数</x:v>
      </x:c>
    </x:row>
    <x:row r="9" ht="27" customHeight="1">
      <x:c r="A9" s="2" t="str">
        <x:v>PROD10000</x:v>
      </x:c>
      <x:c r="B9" s="2" t="str">
        <x:v>Grocery</x:v>
      </x:c>
      <x:c r="C9" s="2" t="str">
        <x:v>Sen Basic Staple</x:v>
      </x:c>
      <x:c r="D9" s="2" t="n">
        <x:v>1422</x:v>
      </x:c>
      <x:c r="E9" s="11" t="n">
        <x:v>46022.5</x:v>
      </x:c>
      <x:c r="F9" s="2" t="n">
        <x:v>13</x:v>
      </x:c>
      <x:c r="G9" s="2" t="n">
        <x:v>43</x:v>
      </x:c>
      <x:c r="H9" s="10" t="n">
        <x:f>IF(F9=0,"无销量",D9*30/F9)</x:f>
        <x:v>3281.5384615384614</x:v>
      </x:c>
      <x:c r="I9" s="10" t="n">
        <x:f>IF(G9=0,"无销量",D9*90/G9)</x:f>
        <x:v>2976.279069767442</x:v>
      </x:c>
    </x:row>
    <x:row r="10" ht="27" customHeight="1">
      <x:c r="A10" s="2" t="str">
        <x:v>PROD10001</x:v>
      </x:c>
      <x:c r="B10" s="2" t="str">
        <x:v>Fashion</x:v>
      </x:c>
      <x:c r="C10" s="2" t="str">
        <x:v>Gupta-Chandra Essential Men's Bottomwear</x:v>
      </x:c>
      <x:c r="D10" s="2" t="n">
        <x:v>1595</x:v>
      </x:c>
      <x:c r="E10" s="11" t="n">
        <x:v>46022.5</x:v>
      </x:c>
      <x:c r="F10" s="2" t="n">
        <x:v>16</x:v>
      </x:c>
      <x:c r="G10" s="2" t="n">
        <x:v>29</x:v>
      </x:c>
      <x:c r="H10" s="10" t="n">
        <x:f>IF(F10=0,"无销量",D10*30/F10)</x:f>
        <x:v>2990.625</x:v>
      </x:c>
      <x:c r="I10" s="10" t="n">
        <x:f>IF(G10=0,"无销量",D10*90/G10)</x:f>
        <x:v>4950</x:v>
      </x:c>
    </x:row>
    <x:row r="11" ht="27" customHeight="1">
      <x:c r="A11" s="2" t="str">
        <x:v>PROD10002</x:v>
      </x:c>
      <x:c r="B11" s="2" t="str">
        <x:v>Footwear</x:v>
      </x:c>
      <x:c r="C11" s="2" t="str">
        <x:v>Murty, Advanced Women's Casual</x:v>
      </x:c>
      <x:c r="D11" s="2" t="n">
        <x:v>732</x:v>
      </x:c>
      <x:c r="E11" s="11" t="n">
        <x:v>46022.5</x:v>
      </x:c>
      <x:c r="F11" s="2" t="n">
        <x:v>78</x:v>
      </x:c>
      <x:c r="G11" s="2" t="n">
        <x:v>182</x:v>
      </x:c>
      <x:c r="H11" s="10" t="n">
        <x:f>IF(F11=0,"无销量",D11*30/F11)</x:f>
        <x:v>281.53846153846155</x:v>
      </x:c>
      <x:c r="I11" s="10" t="n">
        <x:f>IF(G11=0,"无销量",D11*90/G11)</x:f>
        <x:v>361.97802197802196</x:v>
      </x:c>
    </x:row>
    <x:row r="12" ht="27" customHeight="1">
      <x:c r="A12" s="2" t="str">
        <x:v>PROD10003</x:v>
      </x:c>
      <x:c r="B12" s="2" t="str">
        <x:v>Home &amp; Kitchen</x:v>
      </x:c>
      <x:c r="C12" s="2" t="str">
        <x:v>Madan-Kanda Signature Bedding</x:v>
      </x:c>
      <x:c r="D12" s="2" t="n">
        <x:v>1181</x:v>
      </x:c>
      <x:c r="E12" s="11" t="n">
        <x:v>46022.5</x:v>
      </x:c>
      <x:c r="F12" s="2" t="n">
        <x:v>10</x:v>
      </x:c>
      <x:c r="G12" s="2" t="n">
        <x:v>42</x:v>
      </x:c>
      <x:c r="H12" s="10" t="n">
        <x:f>IF(F12=0,"无销量",D12*30/F12)</x:f>
        <x:v>3543</x:v>
      </x:c>
      <x:c r="I12" s="10" t="n">
        <x:f>IF(G12=0,"无销量",D12*90/G12)</x:f>
        <x:v>2530.714285714286</x:v>
      </x:c>
    </x:row>
    <x:row r="13" ht="27" customHeight="1">
      <x:c r="A13" s="2" t="str">
        <x:v>PROD10004</x:v>
      </x:c>
      <x:c r="B13" s="2" t="str">
        <x:v>Home &amp; Kitchen</x:v>
      </x:c>
      <x:c r="C13" s="2" t="str">
        <x:v>Sami, Premium Home Decor</x:v>
      </x:c>
      <x:c r="D13" s="2" t="n">
        <x:v>2597</x:v>
      </x:c>
      <x:c r="E13" s="11" t="n">
        <x:v>46022.5</x:v>
      </x:c>
      <x:c r="F13" s="2" t="n">
        <x:v>150</x:v>
      </x:c>
      <x:c r="G13" s="2" t="n">
        <x:v>334</x:v>
      </x:c>
      <x:c r="H13" s="10" t="n">
        <x:f>IF(F13=0,"无销量",D13*30/F13)</x:f>
        <x:v>519.4</x:v>
      </x:c>
      <x:c r="I13" s="10" t="n">
        <x:f>IF(G13=0,"无销量",D13*90/G13)</x:f>
        <x:v>699.7904191616766</x:v>
      </x:c>
    </x:row>
    <x:row r="14" ht="27" customHeight="1">
      <x:c r="A14" s="2" t="str">
        <x:v>PROD10005</x:v>
      </x:c>
      <x:c r="B14" s="2" t="str">
        <x:v>Beauty</x:v>
      </x:c>
      <x:c r="C14" s="2" t="str">
        <x:v>Bhatt Essential Skincare</x:v>
      </x:c>
      <x:c r="D14" s="2" t="n">
        <x:v>2225</x:v>
      </x:c>
      <x:c r="E14" s="11" t="n">
        <x:v>46022.5</x:v>
      </x:c>
      <x:c r="F14" s="2" t="n">
        <x:v>44</x:v>
      </x:c>
      <x:c r="G14" s="2" t="n">
        <x:v>125</x:v>
      </x:c>
      <x:c r="H14" s="10" t="n">
        <x:f>IF(F14=0,"无销量",D14*30/F14)</x:f>
        <x:v>1517.0454545454545</x:v>
      </x:c>
      <x:c r="I14" s="10" t="n">
        <x:f>IF(G14=0,"无销量",D14*90/G14)</x:f>
        <x:v>1602</x:v>
      </x:c>
    </x:row>
    <x:row r="15" ht="27" customHeight="1">
      <x:c r="A15" s="2" t="str">
        <x:v>PROD10006</x:v>
      </x:c>
      <x:c r="B15" s="2" t="str">
        <x:v>Sports</x:v>
      </x:c>
      <x:c r="C15" s="2" t="str">
        <x:v>Sen Compact Cycling</x:v>
      </x:c>
      <x:c r="D15" s="2" t="n">
        <x:v>1637</x:v>
      </x:c>
      <x:c r="E15" s="11" t="n">
        <x:v>46022.5</x:v>
      </x:c>
      <x:c r="F15" s="2" t="n">
        <x:v>52</x:v>
      </x:c>
      <x:c r="G15" s="2" t="n">
        <x:v>135</x:v>
      </x:c>
      <x:c r="H15" s="10" t="n">
        <x:f>IF(F15=0,"无销量",D15*30/F15)</x:f>
        <x:v>944.4230769230769</x:v>
      </x:c>
      <x:c r="I15" s="10" t="n">
        <x:f>IF(G15=0,"无销量",D15*90/G15)</x:f>
        <x:v>1091.3333333333333</x:v>
      </x:c>
    </x:row>
    <x:row r="16" ht="27" customHeight="1">
      <x:c r="A16" s="2" t="str">
        <x:v>PROD10007</x:v>
      </x:c>
      <x:c r="B16" s="2" t="str">
        <x:v>Fashion</x:v>
      </x:c>
      <x:c r="C16" s="2" t="str">
        <x:v>Gara-Chad Ultra Women's Ethnic Wear</x:v>
      </x:c>
      <x:c r="D16" s="2" t="n">
        <x:v>466</x:v>
      </x:c>
      <x:c r="E16" s="11" t="n">
        <x:v>46022.5</x:v>
      </x:c>
      <x:c r="F16" s="2" t="n">
        <x:v>125</x:v>
      </x:c>
      <x:c r="G16" s="2" t="n">
        <x:v>358</x:v>
      </x:c>
      <x:c r="H16" s="10" t="n">
        <x:f>IF(F16=0,"无销量",D16*30/F16)</x:f>
        <x:v>111.84</x:v>
      </x:c>
      <x:c r="I16" s="10" t="n">
        <x:f>IF(G16=0,"无销量",D16*90/G16)</x:f>
        <x:v>117.15083798882682</x:v>
      </x:c>
    </x:row>
    <x:row r="17" ht="27" customHeight="1">
      <x:c r="A17" s="2" t="str">
        <x:v>PROD10008</x:v>
      </x:c>
      <x:c r="B17" s="2" t="str">
        <x:v>Grocery</x:v>
      </x:c>
      <x:c r="C17" s="2" t="str">
        <x:v>Sabharwal-Kothari Signature Snack</x:v>
      </x:c>
      <x:c r="D17" s="2" t="n">
        <x:v>1276</x:v>
      </x:c>
      <x:c r="E17" s="11" t="n">
        <x:v>46022.5</x:v>
      </x:c>
      <x:c r="F17" s="2" t="n">
        <x:v>4</x:v>
      </x:c>
      <x:c r="G17" s="2" t="n">
        <x:v>13</x:v>
      </x:c>
      <x:c r="H17" s="10" t="n">
        <x:f>IF(F17=0,"无销量",D17*30/F17)</x:f>
        <x:v>9570</x:v>
      </x:c>
      <x:c r="I17" s="10" t="n">
        <x:f>IF(G17=0,"无销量",D17*90/G17)</x:f>
        <x:v>8833.846153846154</x:v>
      </x:c>
    </x:row>
    <x:row r="18" ht="27" customHeight="1">
      <x:c r="A18" s="2" t="str">
        <x:v>PROD10009</x:v>
      </x:c>
      <x:c r="B18" s="2" t="str">
        <x:v>Fashion</x:v>
      </x:c>
      <x:c r="C18" s="2" t="str">
        <x:v>Kapoor Pro Men's Bottomwear</x:v>
      </x:c>
      <x:c r="D18" s="2" t="n">
        <x:v>2160</x:v>
      </x:c>
      <x:c r="E18" s="11" t="n">
        <x:v>46022.5</x:v>
      </x:c>
      <x:c r="F18" s="2" t="n">
        <x:v>0</x:v>
      </x:c>
      <x:c r="G18" s="2" t="n">
        <x:v>6</x:v>
      </x:c>
      <x:c r="H18" s="10" t="str">
        <x:f>IF(F18=0,"无销量",D18*30/F18)</x:f>
        <x:v>无销量</x:v>
      </x:c>
      <x:c r="I18" s="10" t="n">
        <x:f>IF(G18=0,"无销量",D18*90/G18)</x:f>
        <x:v>32400</x:v>
      </x:c>
    </x:row>
    <x:row r="19" ht="27" customHeight="1">
      <x:c r="A19" s="2" t="str">
        <x:v>PROD10010</x:v>
      </x:c>
      <x:c r="B19" s="2" t="str">
        <x:v>Home &amp; Kitchen</x:v>
      </x:c>
      <x:c r="C19" s="2" t="str">
        <x:v>Virk, Deluxe Home Decor</x:v>
      </x:c>
      <x:c r="D19" s="2" t="n">
        <x:v>45</x:v>
      </x:c>
      <x:c r="E19" s="11" t="n">
        <x:v>46022.5</x:v>
      </x:c>
      <x:c r="F19" s="2" t="n">
        <x:v>59</x:v>
      </x:c>
      <x:c r="G19" s="2" t="n">
        <x:v>182</x:v>
      </x:c>
      <x:c r="H19" s="10" t="n">
        <x:f>IF(F19=0,"无销量",D19*30/F19)</x:f>
        <x:v>22.88135593220339</x:v>
      </x:c>
      <x:c r="I19" s="10" t="n">
        <x:f>IF(G19=0,"无销量",D19*90/G19)</x:f>
        <x:v>22.252747252747252</x:v>
      </x:c>
    </x:row>
    <x:row r="20" ht="27" customHeight="1">
      <x:c r="A20" s="2" t="str">
        <x:v>PROD10011</x:v>
      </x:c>
      <x:c r="B20" s="2" t="str">
        <x:v>Footwear</x:v>
      </x:c>
      <x:c r="C20" s="2" t="str">
        <x:v>Bhatt Smart Women's Casual</x:v>
      </x:c>
      <x:c r="D20" s="2" t="n">
        <x:v>1402</x:v>
      </x:c>
      <x:c r="E20" s="11" t="n">
        <x:v>46022.5</x:v>
      </x:c>
      <x:c r="F20" s="2" t="n">
        <x:v>48</x:v>
      </x:c>
      <x:c r="G20" s="2" t="n">
        <x:v>112</x:v>
      </x:c>
      <x:c r="H20" s="10" t="n">
        <x:f>IF(F20=0,"无销量",D20*30/F20)</x:f>
        <x:v>876.25</x:v>
      </x:c>
      <x:c r="I20" s="10" t="n">
        <x:f>IF(G20=0,"无销量",D20*90/G20)</x:f>
        <x:v>1126.607142857143</x:v>
      </x:c>
    </x:row>
    <x:row r="21" ht="27" customHeight="1">
      <x:c r="A21" s="2" t="str">
        <x:v>PROD10012</x:v>
      </x:c>
      <x:c r="B21" s="2" t="str">
        <x:v>Appliances</x:v>
      </x:c>
      <x:c r="C21" s="2" t="str">
        <x:v>Nair, Ultra Kitchen Appliance</x:v>
      </x:c>
      <x:c r="D21" s="2" t="n">
        <x:v>2421</x:v>
      </x:c>
      <x:c r="E21" s="11" t="n">
        <x:v>46022.5</x:v>
      </x:c>
      <x:c r="F21" s="2" t="n">
        <x:v>22</x:v>
      </x:c>
      <x:c r="G21" s="2" t="n">
        <x:v>49</x:v>
      </x:c>
      <x:c r="H21" s="10" t="n">
        <x:f>IF(F21=0,"无销量",D21*30/F21)</x:f>
        <x:v>3301.3636363636365</x:v>
      </x:c>
      <x:c r="I21" s="10" t="n">
        <x:f>IF(G21=0,"无销量",D21*90/G21)</x:f>
        <x:v>4446.734693877551</x:v>
      </x:c>
    </x:row>
    <x:row r="22" ht="27" customHeight="1">
      <x:c r="A22" s="2" t="str">
        <x:v>PROD10013</x:v>
      </x:c>
      <x:c r="B22" s="2" t="str">
        <x:v>Bags</x:v>
      </x:c>
      <x:c r="C22" s="2" t="str">
        <x:v>Andra Smart Backpack</x:v>
      </x:c>
      <x:c r="D22" s="2" t="n">
        <x:v>1917</x:v>
      </x:c>
      <x:c r="E22" s="11" t="n">
        <x:v>46022.5</x:v>
      </x:c>
      <x:c r="F22" s="2" t="n">
        <x:v>15</x:v>
      </x:c>
      <x:c r="G22" s="2" t="n">
        <x:v>27</x:v>
      </x:c>
      <x:c r="H22" s="10" t="n">
        <x:f>IF(F22=0,"无销量",D22*30/F22)</x:f>
        <x:v>3834</x:v>
      </x:c>
      <x:c r="I22" s="10" t="n">
        <x:f>IF(G22=0,"无销量",D22*90/G22)</x:f>
        <x:v>6390</x:v>
      </x:c>
    </x:row>
    <x:row r="23" ht="27" customHeight="1">
      <x:c r="A23" s="2" t="str">
        <x:v>PROD10014</x:v>
      </x:c>
      <x:c r="B23" s="2" t="str">
        <x:v>Grocery</x:v>
      </x:c>
      <x:c r="C23" s="2" t="str">
        <x:v>Handa Premium Packaged Food</x:v>
      </x:c>
      <x:c r="D23" s="2" t="n">
        <x:v>446</x:v>
      </x:c>
      <x:c r="E23" s="11" t="n">
        <x:v>46022.5</x:v>
      </x:c>
      <x:c r="F23" s="2" t="n">
        <x:v>26</x:v>
      </x:c>
      <x:c r="G23" s="2" t="n">
        <x:v>93</x:v>
      </x:c>
      <x:c r="H23" s="10" t="n">
        <x:f>IF(F23=0,"无销量",D23*30/F23)</x:f>
        <x:v>514.6153846153846</x:v>
      </x:c>
      <x:c r="I23" s="10" t="n">
        <x:f>IF(G23=0,"无销量",D23*90/G23)</x:f>
        <x:v>431.61290322580646</x:v>
      </x:c>
    </x:row>
    <x:row r="24" ht="27" customHeight="1">
      <x:c r="A24" s="2" t="str">
        <x:v>PROD10015</x:v>
      </x:c>
      <x:c r="B24" s="2" t="str">
        <x:v>Furniture</x:v>
      </x:c>
      <x:c r="C24" s="2" t="str">
        <x:v>Nagy, Classic Storage</x:v>
      </x:c>
      <x:c r="D24" s="2" t="n">
        <x:v>80</x:v>
      </x:c>
      <x:c r="E24" s="11" t="n">
        <x:v>46022.5</x:v>
      </x:c>
      <x:c r="F24" s="2" t="n">
        <x:v>72</x:v>
      </x:c>
      <x:c r="G24" s="2" t="n">
        <x:v>163</x:v>
      </x:c>
      <x:c r="H24" s="10" t="n">
        <x:f>IF(F24=0,"无销量",D24*30/F24)</x:f>
        <x:v>33.333333333333336</x:v>
      </x:c>
      <x:c r="I24" s="10" t="n">
        <x:f>IF(G24=0,"无销量",D24*90/G24)</x:f>
        <x:v>44.171779141104295</x:v>
      </x:c>
    </x:row>
    <x:row r="25" ht="27" customHeight="1">
      <x:c r="A25" s="2" t="str">
        <x:v>PROD10016</x:v>
      </x:c>
      <x:c r="B25" s="2" t="str">
        <x:v>Appliances</x:v>
      </x:c>
      <x:c r="C25" s="2" t="str">
        <x:v>Loke, Compact Fans &amp; Cooler</x:v>
      </x:c>
      <x:c r="D25" s="2" t="n">
        <x:v>909</x:v>
      </x:c>
      <x:c r="E25" s="11" t="n">
        <x:v>46022.5</x:v>
      </x:c>
      <x:c r="F25" s="2" t="n">
        <x:v>48</x:v>
      </x:c>
      <x:c r="G25" s="2" t="n">
        <x:v>158</x:v>
      </x:c>
      <x:c r="H25" s="10" t="n">
        <x:f>IF(F25=0,"无销量",D25*30/F25)</x:f>
        <x:v>568.125</x:v>
      </x:c>
      <x:c r="I25" s="10" t="n">
        <x:f>IF(G25=0,"无销量",D25*90/G25)</x:f>
        <x:v>517.7848101265823</x:v>
      </x:c>
    </x:row>
    <x:row r="26" ht="27" customHeight="1">
      <x:c r="A26" s="2" t="str">
        <x:v>PROD10017</x:v>
      </x:c>
      <x:c r="B26" s="2" t="str">
        <x:v>Books</x:v>
      </x:c>
      <x:c r="C26" s="2" t="str">
        <x:v>Chaudhry, Signature Academic</x:v>
      </x:c>
      <x:c r="D26" s="2" t="n">
        <x:v>1180</x:v>
      </x:c>
      <x:c r="E26" s="11" t="n">
        <x:v>46022.5</x:v>
      </x:c>
      <x:c r="F26" s="2" t="n">
        <x:v>104</x:v>
      </x:c>
      <x:c r="G26" s="2" t="n">
        <x:v>340</x:v>
      </x:c>
      <x:c r="H26" s="10" t="n">
        <x:f>IF(F26=0,"无销量",D26*30/F26)</x:f>
        <x:v>340.38461538461536</x:v>
      </x:c>
      <x:c r="I26" s="10" t="n">
        <x:f>IF(G26=0,"无销量",D26*90/G26)</x:f>
        <x:v>312.3529411764706</x:v>
      </x:c>
    </x:row>
    <x:row r="27" ht="27" customHeight="1">
      <x:c r="A27" s="2" t="str">
        <x:v>PROD10018</x:v>
      </x:c>
      <x:c r="B27" s="2" t="str">
        <x:v>Books</x:v>
      </x:c>
      <x:c r="C27" s="2" t="str">
        <x:v>Rai Premium Non-Fiction</x:v>
      </x:c>
      <x:c r="D27" s="2" t="n">
        <x:v>1390</x:v>
      </x:c>
      <x:c r="E27" s="11" t="n">
        <x:v>46022.5</x:v>
      </x:c>
      <x:c r="F27" s="2" t="n">
        <x:v>120</x:v>
      </x:c>
      <x:c r="G27" s="2" t="n">
        <x:v>270</x:v>
      </x:c>
      <x:c r="H27" s="10" t="n">
        <x:f>IF(F27=0,"无销量",D27*30/F27)</x:f>
        <x:v>347.5</x:v>
      </x:c>
      <x:c r="I27" s="10" t="n">
        <x:f>IF(G27=0,"无销量",D27*90/G27)</x:f>
        <x:v>463.3333333333333</x:v>
      </x:c>
    </x:row>
    <x:row r="28" ht="27" customHeight="1">
      <x:c r="A28" s="2" t="str">
        <x:v>PROD10019</x:v>
      </x:c>
      <x:c r="B28" s="2" t="str">
        <x:v>Home &amp; Kitchen</x:v>
      </x:c>
      <x:c r="C28" s="2" t="str">
        <x:v>Kala-Rattan Classic Dinnerware</x:v>
      </x:c>
      <x:c r="D28" s="2" t="n">
        <x:v>1472</x:v>
      </x:c>
      <x:c r="E28" s="11" t="n">
        <x:v>46022.5</x:v>
      </x:c>
      <x:c r="F28" s="2" t="n">
        <x:v>126</x:v>
      </x:c>
      <x:c r="G28" s="2" t="n">
        <x:v>348</x:v>
      </x:c>
      <x:c r="H28" s="10" t="n">
        <x:f>IF(F28=0,"无销量",D28*30/F28)</x:f>
        <x:v>350.4761904761905</x:v>
      </x:c>
      <x:c r="I28" s="10" t="n">
        <x:f>IF(G28=0,"无销量",D28*90/G28)</x:f>
        <x:v>380.6896551724138</x:v>
      </x:c>
    </x:row>
    <x:row r="29" ht="27" customHeight="1">
      <x:c r="A29" s="2" t="str">
        <x:v>PROD10020</x:v>
      </x:c>
      <x:c r="B29" s="2" t="str">
        <x:v>Books</x:v>
      </x:c>
      <x:c r="C29" s="2" t="str">
        <x:v>Bhatti-Kakar Ultra Non-Fiction</x:v>
      </x:c>
      <x:c r="D29" s="2" t="n">
        <x:v>497</x:v>
      </x:c>
      <x:c r="E29" s="11" t="n">
        <x:v>46022.5</x:v>
      </x:c>
      <x:c r="F29" s="2" t="n">
        <x:v>23</x:v>
      </x:c>
      <x:c r="G29" s="2" t="n">
        <x:v>79</x:v>
      </x:c>
      <x:c r="H29" s="10" t="n">
        <x:f>IF(F29=0,"无销量",D29*30/F29)</x:f>
        <x:v>648.2608695652174</x:v>
      </x:c>
      <x:c r="I29" s="10" t="n">
        <x:f>IF(G29=0,"无销量",D29*90/G29)</x:f>
        <x:v>566.2025316455696</x:v>
      </x:c>
    </x:row>
    <x:row r="30" ht="27" customHeight="1">
      <x:c r="A30" s="2" t="str">
        <x:v>PROD10021</x:v>
      </x:c>
      <x:c r="B30" s="2" t="str">
        <x:v>Fashion</x:v>
      </x:c>
      <x:c r="C30" s="2" t="str">
        <x:v>Barad-Singhal Advanced Men's Bottomwear</x:v>
      </x:c>
      <x:c r="D30" s="2" t="n">
        <x:v>2877</x:v>
      </x:c>
      <x:c r="E30" s="11" t="n">
        <x:v>46022.5</x:v>
      </x:c>
      <x:c r="F30" s="2" t="n">
        <x:v>102</x:v>
      </x:c>
      <x:c r="G30" s="2" t="n">
        <x:v>248</x:v>
      </x:c>
      <x:c r="H30" s="10" t="n">
        <x:f>IF(F30=0,"无销量",D30*30/F30)</x:f>
        <x:v>846.1764705882352</x:v>
      </x:c>
      <x:c r="I30" s="10" t="n">
        <x:f>IF(G30=0,"无销量",D30*90/G30)</x:f>
        <x:v>1044.0725806451612</x:v>
      </x:c>
    </x:row>
    <x:row r="31" ht="27" customHeight="1">
      <x:c r="A31" s="2" t="str">
        <x:v>PROD10022</x:v>
      </x:c>
      <x:c r="B31" s="2" t="str">
        <x:v>Furniture</x:v>
      </x:c>
      <x:c r="C31" s="2" t="str">
        <x:v>Cherian, Smart Office Furniture</x:v>
      </x:c>
      <x:c r="D31" s="2" t="n">
        <x:v>116</x:v>
      </x:c>
      <x:c r="E31" s="11" t="n">
        <x:v>46022.5</x:v>
      </x:c>
      <x:c r="F31" s="2" t="n">
        <x:v>0</x:v>
      </x:c>
      <x:c r="G31" s="2" t="n">
        <x:v>5</x:v>
      </x:c>
      <x:c r="H31" s="10" t="str">
        <x:f>IF(F31=0,"无销量",D31*30/F31)</x:f>
        <x:v>无销量</x:v>
      </x:c>
      <x:c r="I31" s="10" t="n">
        <x:f>IF(G31=0,"无销量",D31*90/G31)</x:f>
        <x:v>2088</x:v>
      </x:c>
    </x:row>
    <x:row r="32" ht="27" customHeight="1">
      <x:c r="A32" s="2" t="str">
        <x:v>PROD10023</x:v>
      </x:c>
      <x:c r="B32" s="2" t="str">
        <x:v>Mobile Accessories</x:v>
      </x:c>
      <x:c r="C32" s="2" t="str">
        <x:v>Prakash, Advanced Phone Case</x:v>
      </x:c>
      <x:c r="D32" s="2" t="n">
        <x:v>2124</x:v>
      </x:c>
      <x:c r="E32" s="11" t="n">
        <x:v>46022.5</x:v>
      </x:c>
      <x:c r="F32" s="2" t="n">
        <x:v>94</x:v>
      </x:c>
      <x:c r="G32" s="2" t="n">
        <x:v>218</x:v>
      </x:c>
      <x:c r="H32" s="10" t="n">
        <x:f>IF(F32=0,"无销量",D32*30/F32)</x:f>
        <x:v>677.8723404255319</x:v>
      </x:c>
      <x:c r="I32" s="10" t="n">
        <x:f>IF(G32=0,"无销量",D32*90/G32)</x:f>
        <x:v>876.8807339449542</x:v>
      </x:c>
    </x:row>
    <x:row r="33" ht="27" customHeight="1">
      <x:c r="A33" s="2" t="str">
        <x:v>PROD10024</x:v>
      </x:c>
      <x:c r="B33" s="2" t="str">
        <x:v>Beauty</x:v>
      </x:c>
      <x:c r="C33" s="2" t="str">
        <x:v>Patla-Gaba Signature Haircare</x:v>
      </x:c>
      <x:c r="D33" s="2" t="n">
        <x:v>881</x:v>
      </x:c>
      <x:c r="E33" s="11" t="n">
        <x:v>46022.5</x:v>
      </x:c>
      <x:c r="F33" s="2" t="n">
        <x:v>77</x:v>
      </x:c>
      <x:c r="G33" s="2" t="n">
        <x:v>185</x:v>
      </x:c>
      <x:c r="H33" s="10" t="n">
        <x:f>IF(F33=0,"无销量",D33*30/F33)</x:f>
        <x:v>343.24675324675326</x:v>
      </x:c>
      <x:c r="I33" s="10" t="n">
        <x:f>IF(G33=0,"无销量",D33*90/G33)</x:f>
        <x:v>428.5945945945946</x:v>
      </x:c>
    </x:row>
    <x:row r="34" ht="27" customHeight="1">
      <x:c r="A34" s="2" t="str">
        <x:v>PROD10025</x:v>
      </x:c>
      <x:c r="B34" s="2" t="str">
        <x:v>Grocery</x:v>
      </x:c>
      <x:c r="C34" s="2" t="str">
        <x:v>Kade-Sani Basic Snack</x:v>
      </x:c>
      <x:c r="D34" s="2" t="n">
        <x:v>717</x:v>
      </x:c>
      <x:c r="E34" s="11" t="n">
        <x:v>46022.5</x:v>
      </x:c>
      <x:c r="F34" s="2" t="n">
        <x:v>32</x:v>
      </x:c>
      <x:c r="G34" s="2" t="n">
        <x:v>78</x:v>
      </x:c>
      <x:c r="H34" s="10" t="n">
        <x:f>IF(F34=0,"无销量",D34*30/F34)</x:f>
        <x:v>672.1875</x:v>
      </x:c>
      <x:c r="I34" s="10" t="n">
        <x:f>IF(G34=0,"无销量",D34*90/G34)</x:f>
        <x:v>827.3076923076923</x:v>
      </x:c>
    </x:row>
    <x:row r="35" ht="27" customHeight="1">
      <x:c r="A35" s="2" t="str">
        <x:v>PROD10026</x:v>
      </x:c>
      <x:c r="B35" s="2" t="str">
        <x:v>Bags</x:v>
      </x:c>
      <x:c r="C35" s="2" t="str">
        <x:v>Cherian, Everyday Handbag</x:v>
      </x:c>
      <x:c r="D35" s="2" t="n">
        <x:v>186</x:v>
      </x:c>
      <x:c r="E35" s="11" t="n">
        <x:v>46022.5</x:v>
      </x:c>
      <x:c r="F35" s="2" t="n">
        <x:v>20</x:v>
      </x:c>
      <x:c r="G35" s="2" t="n">
        <x:v>57</x:v>
      </x:c>
      <x:c r="H35" s="10" t="n">
        <x:f>IF(F35=0,"无销量",D35*30/F35)</x:f>
        <x:v>279</x:v>
      </x:c>
      <x:c r="I35" s="10" t="n">
        <x:f>IF(G35=0,"无销量",D35*90/G35)</x:f>
        <x:v>293.6842105263158</x:v>
      </x:c>
    </x:row>
    <x:row r="36" ht="27" customHeight="1">
      <x:c r="A36" s="2" t="str">
        <x:v>PROD10027</x:v>
      </x:c>
      <x:c r="B36" s="2" t="str">
        <x:v>Mobile Accessories</x:v>
      </x:c>
      <x:c r="C36" s="2" t="str">
        <x:v>Mallick Advanced Power Bank</x:v>
      </x:c>
      <x:c r="D36" s="2" t="n">
        <x:v>1478</x:v>
      </x:c>
      <x:c r="E36" s="11" t="n">
        <x:v>46022.5</x:v>
      </x:c>
      <x:c r="F36" s="2" t="n">
        <x:v>13</x:v>
      </x:c>
      <x:c r="G36" s="2" t="n">
        <x:v>22</x:v>
      </x:c>
      <x:c r="H36" s="10" t="n">
        <x:f>IF(F36=0,"无销量",D36*30/F36)</x:f>
        <x:v>3410.769230769231</x:v>
      </x:c>
      <x:c r="I36" s="10" t="n">
        <x:f>IF(G36=0,"无销量",D36*90/G36)</x:f>
        <x:v>6046.363636363636</x:v>
      </x:c>
    </x:row>
    <x:row r="37" ht="27" customHeight="1">
      <x:c r="A37" s="2" t="str">
        <x:v>PROD10028</x:v>
      </x:c>
      <x:c r="B37" s="2" t="str">
        <x:v>Beauty</x:v>
      </x:c>
      <x:c r="C37" s="2" t="str">
        <x:v>Grewal Premium Makeup</x:v>
      </x:c>
      <x:c r="D37" s="2" t="n">
        <x:v>1567</x:v>
      </x:c>
      <x:c r="E37" s="11" t="n">
        <x:v>46022.5</x:v>
      </x:c>
      <x:c r="F37" s="2" t="n">
        <x:v>5</x:v>
      </x:c>
      <x:c r="G37" s="2" t="n">
        <x:v>29</x:v>
      </x:c>
      <x:c r="H37" s="10" t="n">
        <x:f>IF(F37=0,"无销量",D37*30/F37)</x:f>
        <x:v>9402</x:v>
      </x:c>
      <x:c r="I37" s="10" t="n">
        <x:f>IF(G37=0,"无销量",D37*90/G37)</x:f>
        <x:v>4863.103448275862</x:v>
      </x:c>
    </x:row>
    <x:row r="38" ht="27" customHeight="1">
      <x:c r="A38" s="2" t="str">
        <x:v>PROD10029</x:v>
      </x:c>
      <x:c r="B38" s="2" t="str">
        <x:v>Office Supplies</x:v>
      </x:c>
      <x:c r="C38" s="2" t="str">
        <x:v>Sami, Smart Printer</x:v>
      </x:c>
      <x:c r="D38" s="2" t="n">
        <x:v>186</x:v>
      </x:c>
      <x:c r="E38" s="11" t="n">
        <x:v>46022.5</x:v>
      </x:c>
      <x:c r="F38" s="2" t="n">
        <x:v>10</x:v>
      </x:c>
      <x:c r="G38" s="2" t="n">
        <x:v>21</x:v>
      </x:c>
      <x:c r="H38" s="10" t="n">
        <x:f>IF(F38=0,"无销量",D38*30/F38)</x:f>
        <x:v>558</x:v>
      </x:c>
      <x:c r="I38" s="10" t="n">
        <x:f>IF(G38=0,"无销量",D38*90/G38)</x:f>
        <x:v>797.1428571428571</x:v>
      </x:c>
    </x:row>
    <x:row r="39" ht="27" customHeight="1">
      <x:c r="A39" s="2" t="str">
        <x:v>PROD10030</x:v>
      </x:c>
      <x:c r="B39" s="2" t="str">
        <x:v>Electronics</x:v>
      </x:c>
      <x:c r="C39" s="2" t="str">
        <x:v>Sen, Classic Smartwatche</x:v>
      </x:c>
      <x:c r="D39" s="2" t="n">
        <x:v>675</x:v>
      </x:c>
      <x:c r="E39" s="11" t="n">
        <x:v>46022.5</x:v>
      </x:c>
      <x:c r="F39" s="2" t="n">
        <x:v>47</x:v>
      </x:c>
      <x:c r="G39" s="2" t="n">
        <x:v>124</x:v>
      </x:c>
      <x:c r="H39" s="10" t="n">
        <x:f>IF(F39=0,"无销量",D39*30/F39)</x:f>
        <x:v>430.8510638297872</x:v>
      </x:c>
      <x:c r="I39" s="10" t="n">
        <x:f>IF(G39=0,"无销量",D39*90/G39)</x:f>
        <x:v>489.9193548387097</x:v>
      </x:c>
    </x:row>
    <x:row r="40" ht="27" customHeight="1">
      <x:c r="A40" s="2" t="str">
        <x:v>PROD10031</x:v>
      </x:c>
      <x:c r="B40" s="2" t="str">
        <x:v>Bags</x:v>
      </x:c>
      <x:c r="C40" s="2" t="str">
        <x:v>Shah Basic Handbag</x:v>
      </x:c>
      <x:c r="D40" s="2" t="n">
        <x:v>1417</x:v>
      </x:c>
      <x:c r="E40" s="11" t="n">
        <x:v>46022.5</x:v>
      </x:c>
      <x:c r="F40" s="2" t="n">
        <x:v>693</x:v>
      </x:c>
      <x:c r="G40" s="2" t="n">
        <x:v>1815</x:v>
      </x:c>
      <x:c r="H40" s="10" t="n">
        <x:f>IF(F40=0,"无销量",D40*30/F40)</x:f>
        <x:v>61.34199134199134</x:v>
      </x:c>
      <x:c r="I40" s="10" t="n">
        <x:f>IF(G40=0,"无销量",D40*90/G40)</x:f>
        <x:v>70.26446280991736</x:v>
      </x:c>
    </x:row>
    <x:row r="41" ht="27" customHeight="1">
      <x:c r="A41" s="2" t="str">
        <x:v>PROD10032</x:v>
      </x:c>
      <x:c r="B41" s="2" t="str">
        <x:v>Books</x:v>
      </x:c>
      <x:c r="C41" s="2" t="str">
        <x:v>Dara-Kota Advanced Academic</x:v>
      </x:c>
      <x:c r="D41" s="2" t="n">
        <x:v>1911</x:v>
      </x:c>
      <x:c r="E41" s="11" t="n">
        <x:v>46022.5</x:v>
      </x:c>
      <x:c r="F41" s="2" t="n">
        <x:v>2</x:v>
      </x:c>
      <x:c r="G41" s="2" t="n">
        <x:v>9</x:v>
      </x:c>
      <x:c r="H41" s="10" t="n">
        <x:f>IF(F41=0,"无销量",D41*30/F41)</x:f>
        <x:v>28665</x:v>
      </x:c>
      <x:c r="I41" s="10" t="n">
        <x:f>IF(G41=0,"无销量",D41*90/G41)</x:f>
        <x:v>19110</x:v>
      </x:c>
    </x:row>
    <x:row r="42" ht="27" customHeight="1">
      <x:c r="A42" s="2" t="str">
        <x:v>PROD10033</x:v>
      </x:c>
      <x:c r="B42" s="2" t="str">
        <x:v>Fashion</x:v>
      </x:c>
      <x:c r="C42" s="2" t="str">
        <x:v>Kade, Advanced Women's Western Wear</x:v>
      </x:c>
      <x:c r="D42" s="2" t="n">
        <x:v>378</x:v>
      </x:c>
      <x:c r="E42" s="11" t="n">
        <x:v>46022.5</x:v>
      </x:c>
      <x:c r="F42" s="2" t="n">
        <x:v>32</x:v>
      </x:c>
      <x:c r="G42" s="2" t="n">
        <x:v>62</x:v>
      </x:c>
      <x:c r="H42" s="10" t="n">
        <x:f>IF(F42=0,"无销量",D42*30/F42)</x:f>
        <x:v>354.375</x:v>
      </x:c>
      <x:c r="I42" s="10" t="n">
        <x:f>IF(G42=0,"无销量",D42*90/G42)</x:f>
        <x:v>548.7096774193549</x:v>
      </x:c>
    </x:row>
    <x:row r="43" ht="27" customHeight="1">
      <x:c r="A43" s="2" t="str">
        <x:v>PROD10034</x:v>
      </x:c>
      <x:c r="B43" s="2" t="str">
        <x:v>Electronics</x:v>
      </x:c>
      <x:c r="C43" s="2" t="str">
        <x:v>Apte-Contractor Deluxe Smartwatche</x:v>
      </x:c>
      <x:c r="D43" s="2" t="n">
        <x:v>1476</x:v>
      </x:c>
      <x:c r="E43" s="11" t="n">
        <x:v>46022.5</x:v>
      </x:c>
      <x:c r="F43" s="2" t="n">
        <x:v>30</x:v>
      </x:c>
      <x:c r="G43" s="2" t="n">
        <x:v>66</x:v>
      </x:c>
      <x:c r="H43" s="10" t="n">
        <x:f>IF(F43=0,"无销量",D43*30/F43)</x:f>
        <x:v>1476</x:v>
      </x:c>
      <x:c r="I43" s="10" t="n">
        <x:f>IF(G43=0,"无销量",D43*90/G43)</x:f>
        <x:v>2012.7272727272727</x:v>
      </x:c>
    </x:row>
    <x:row r="44" ht="27" customHeight="1">
      <x:c r="A44" s="2" t="str">
        <x:v>PROD10035</x:v>
      </x:c>
      <x:c r="B44" s="2" t="str">
        <x:v>Health &amp; Wellness</x:v>
      </x:c>
      <x:c r="C44" s="2" t="str">
        <x:v>Sankar Basic Supplement</x:v>
      </x:c>
      <x:c r="D44" s="2" t="n">
        <x:v>1858</x:v>
      </x:c>
      <x:c r="E44" s="11" t="n">
        <x:v>46022.5</x:v>
      </x:c>
      <x:c r="F44" s="2" t="n">
        <x:v>343</x:v>
      </x:c>
      <x:c r="G44" s="2" t="n">
        <x:v>824</x:v>
      </x:c>
      <x:c r="H44" s="10" t="n">
        <x:f>IF(F44=0,"无销量",D44*30/F44)</x:f>
        <x:v>162.50728862973762</x:v>
      </x:c>
      <x:c r="I44" s="10" t="n">
        <x:f>IF(G44=0,"无销量",D44*90/G44)</x:f>
        <x:v>202.9368932038835</x:v>
      </x:c>
    </x:row>
    <x:row r="45" ht="27" customHeight="1">
      <x:c r="A45" s="2" t="str">
        <x:v>PROD10036</x:v>
      </x:c>
      <x:c r="B45" s="2" t="str">
        <x:v>Furniture</x:v>
      </x:c>
      <x:c r="C45" s="2" t="str">
        <x:v>Goda Ultra Office Furniture</x:v>
      </x:c>
      <x:c r="D45" s="2" t="n">
        <x:v>2661</x:v>
      </x:c>
      <x:c r="E45" s="11" t="n">
        <x:v>46022.5</x:v>
      </x:c>
      <x:c r="F45" s="2" t="n">
        <x:v>27</x:v>
      </x:c>
      <x:c r="G45" s="2" t="n">
        <x:v>73</x:v>
      </x:c>
      <x:c r="H45" s="10" t="n">
        <x:f>IF(F45=0,"无销量",D45*30/F45)</x:f>
        <x:v>2956.6666666666665</x:v>
      </x:c>
      <x:c r="I45" s="10" t="n">
        <x:f>IF(G45=0,"无销量",D45*90/G45)</x:f>
        <x:v>3280.6849315068494</x:v>
      </x:c>
    </x:row>
    <x:row r="46" ht="27" customHeight="1">
      <x:c r="A46" s="2" t="str">
        <x:v>PROD10037</x:v>
      </x:c>
      <x:c r="B46" s="2" t="str">
        <x:v>Fashion</x:v>
      </x:c>
      <x:c r="C46" s="2" t="str">
        <x:v>Behl-Chanda Smart Kids Wear</x:v>
      </x:c>
      <x:c r="D46" s="2" t="n">
        <x:v>2039</x:v>
      </x:c>
      <x:c r="E46" s="11" t="n">
        <x:v>46022.5</x:v>
      </x:c>
      <x:c r="F46" s="2" t="n">
        <x:v>32</x:v>
      </x:c>
      <x:c r="G46" s="2" t="n">
        <x:v>56</x:v>
      </x:c>
      <x:c r="H46" s="10" t="n">
        <x:f>IF(F46=0,"无销量",D46*30/F46)</x:f>
        <x:v>1911.5625</x:v>
      </x:c>
      <x:c r="I46" s="10" t="n">
        <x:f>IF(G46=0,"无销量",D46*90/G46)</x:f>
        <x:v>3276.964285714286</x:v>
      </x:c>
    </x:row>
    <x:row r="47" ht="27" customHeight="1">
      <x:c r="A47" s="2" t="str">
        <x:v>PROD10038</x:v>
      </x:c>
      <x:c r="B47" s="2" t="str">
        <x:v>Stationery</x:v>
      </x:c>
      <x:c r="C47" s="2" t="str">
        <x:v>Sidhu-Wadhwa Compact Pens &amp; Pencil</x:v>
      </x:c>
      <x:c r="D47" s="2" t="n">
        <x:v>1777</x:v>
      </x:c>
      <x:c r="E47" s="11" t="n">
        <x:v>46022.5</x:v>
      </x:c>
      <x:c r="F47" s="2" t="n">
        <x:v>74</x:v>
      </x:c>
      <x:c r="G47" s="2" t="n">
        <x:v>181</x:v>
      </x:c>
      <x:c r="H47" s="10" t="n">
        <x:f>IF(F47=0,"无销量",D47*30/F47)</x:f>
        <x:v>720.4054054054054</x:v>
      </x:c>
      <x:c r="I47" s="10" t="n">
        <x:f>IF(G47=0,"无销量",D47*90/G47)</x:f>
        <x:v>883.5911602209944</x:v>
      </x:c>
    </x:row>
    <x:row r="48" ht="27" customHeight="1">
      <x:c r="A48" s="2" t="str">
        <x:v>PROD10039</x:v>
      </x:c>
      <x:c r="B48" s="2" t="str">
        <x:v>Furniture</x:v>
      </x:c>
      <x:c r="C48" s="2" t="str">
        <x:v>Nair, Premium Storage</x:v>
      </x:c>
      <x:c r="D48" s="2" t="n">
        <x:v>2931</x:v>
      </x:c>
      <x:c r="E48" s="11" t="n">
        <x:v>46022.5</x:v>
      </x:c>
      <x:c r="F48" s="2" t="n">
        <x:v>11</x:v>
      </x:c>
      <x:c r="G48" s="2" t="n">
        <x:v>20</x:v>
      </x:c>
      <x:c r="H48" s="10" t="n">
        <x:f>IF(F48=0,"无销量",D48*30/F48)</x:f>
        <x:v>7993.636363636364</x:v>
      </x:c>
      <x:c r="I48" s="10" t="n">
        <x:f>IF(G48=0,"无销量",D48*90/G48)</x:f>
        <x:v>13189.5</x:v>
      </x:c>
    </x:row>
    <x:row r="49" ht="27" customHeight="1">
      <x:c r="A49" s="2" t="str">
        <x:v>PROD10040</x:v>
      </x:c>
      <x:c r="B49" s="2" t="str">
        <x:v>Grocery</x:v>
      </x:c>
      <x:c r="C49" s="2" t="str">
        <x:v>Setty Advanced Staple</x:v>
      </x:c>
      <x:c r="D49" s="2" t="n">
        <x:v>2230</x:v>
      </x:c>
      <x:c r="E49" s="11" t="n">
        <x:v>46022.5</x:v>
      </x:c>
      <x:c r="F49" s="2" t="n">
        <x:v>86</x:v>
      </x:c>
      <x:c r="G49" s="2" t="n">
        <x:v>211</x:v>
      </x:c>
      <x:c r="H49" s="10" t="n">
        <x:f>IF(F49=0,"无销量",D49*30/F49)</x:f>
        <x:v>777.9069767441861</x:v>
      </x:c>
      <x:c r="I49" s="10" t="n">
        <x:f>IF(G49=0,"无销量",D49*90/G49)</x:f>
        <x:v>951.1848341232228</x:v>
      </x:c>
    </x:row>
    <x:row r="50" ht="27" customHeight="1">
      <x:c r="A50" s="2" t="str">
        <x:v>PROD10041</x:v>
      </x:c>
      <x:c r="B50" s="2" t="str">
        <x:v>Toys</x:v>
      </x:c>
      <x:c r="C50" s="2" t="str">
        <x:v>Morar Signature Action Figure</x:v>
      </x:c>
      <x:c r="D50" s="2" t="n">
        <x:v>1408</x:v>
      </x:c>
      <x:c r="E50" s="11" t="n">
        <x:v>46022.5</x:v>
      </x:c>
      <x:c r="F50" s="2" t="n">
        <x:v>61</x:v>
      </x:c>
      <x:c r="G50" s="2" t="n">
        <x:v>202</x:v>
      </x:c>
      <x:c r="H50" s="10" t="n">
        <x:f>IF(F50=0,"无销量",D50*30/F50)</x:f>
        <x:v>692.4590163934427</x:v>
      </x:c>
      <x:c r="I50" s="10" t="n">
        <x:f>IF(G50=0,"无销量",D50*90/G50)</x:f>
        <x:v>627.3267326732673</x:v>
      </x:c>
    </x:row>
    <x:row r="51" ht="27" customHeight="1">
      <x:c r="A51" s="2" t="str">
        <x:v>PROD10042</x:v>
      </x:c>
      <x:c r="B51" s="2" t="str">
        <x:v>Beauty</x:v>
      </x:c>
      <x:c r="C51" s="2" t="str">
        <x:v>Mistry, Ultra Skincare</x:v>
      </x:c>
      <x:c r="D51" s="2" t="n">
        <x:v>1240</x:v>
      </x:c>
      <x:c r="E51" s="11" t="n">
        <x:v>46022.5</x:v>
      </x:c>
      <x:c r="F51" s="2" t="n">
        <x:v>77</x:v>
      </x:c>
      <x:c r="G51" s="2" t="n">
        <x:v>207</x:v>
      </x:c>
      <x:c r="H51" s="10" t="n">
        <x:f>IF(F51=0,"无销量",D51*30/F51)</x:f>
        <x:v>483.1168831168831</x:v>
      </x:c>
      <x:c r="I51" s="10" t="n">
        <x:f>IF(G51=0,"无销量",D51*90/G51)</x:f>
        <x:v>539.1304347826087</x:v>
      </x:c>
    </x:row>
    <x:row r="52" ht="27" customHeight="1">
      <x:c r="A52" s="2" t="str">
        <x:v>PROD10043</x:v>
      </x:c>
      <x:c r="B52" s="2" t="str">
        <x:v>Electronics</x:v>
      </x:c>
      <x:c r="C52" s="2" t="str">
        <x:v>Bajwa Compact Camera</x:v>
      </x:c>
      <x:c r="D52" s="2" t="n">
        <x:v>1112</x:v>
      </x:c>
      <x:c r="E52" s="11" t="n">
        <x:v>46022.5</x:v>
      </x:c>
      <x:c r="F52" s="2" t="n">
        <x:v>21</x:v>
      </x:c>
      <x:c r="G52" s="2" t="n">
        <x:v>43</x:v>
      </x:c>
      <x:c r="H52" s="10" t="n">
        <x:f>IF(F52=0,"无销量",D52*30/F52)</x:f>
        <x:v>1588.5714285714287</x:v>
      </x:c>
      <x:c r="I52" s="10" t="n">
        <x:f>IF(G52=0,"无销量",D52*90/G52)</x:f>
        <x:v>2327.4418604651164</x:v>
      </x:c>
    </x:row>
    <x:row r="53" ht="27" customHeight="1">
      <x:c r="A53" s="2" t="str">
        <x:v>PROD10044</x:v>
      </x:c>
      <x:c r="B53" s="2" t="str">
        <x:v>Fashion</x:v>
      </x:c>
      <x:c r="C53" s="2" t="str">
        <x:v>Keer Premium Men's Bottomwear</x:v>
      </x:c>
      <x:c r="D53" s="2" t="n">
        <x:v>324</x:v>
      </x:c>
      <x:c r="E53" s="11" t="n">
        <x:v>46022.5</x:v>
      </x:c>
      <x:c r="F53" s="2" t="n">
        <x:v>4</x:v>
      </x:c>
      <x:c r="G53" s="2" t="n">
        <x:v>17</x:v>
      </x:c>
      <x:c r="H53" s="10" t="n">
        <x:f>IF(F53=0,"无销量",D53*30/F53)</x:f>
        <x:v>2430</x:v>
      </x:c>
      <x:c r="I53" s="10" t="n">
        <x:f>IF(G53=0,"无销量",D53*90/G53)</x:f>
        <x:v>1715.2941176470588</x:v>
      </x:c>
    </x:row>
    <x:row r="54" ht="27" customHeight="1">
      <x:c r="A54" s="2" t="str">
        <x:v>PROD10045</x:v>
      </x:c>
      <x:c r="B54" s="2" t="str">
        <x:v>Beauty</x:v>
      </x:c>
      <x:c r="C54" s="2" t="str">
        <x:v>Nagy, Deluxe Skincare</x:v>
      </x:c>
      <x:c r="D54" s="2" t="n">
        <x:v>876</x:v>
      </x:c>
      <x:c r="E54" s="11" t="n">
        <x:v>46022.5</x:v>
      </x:c>
      <x:c r="F54" s="2" t="n">
        <x:v>26</x:v>
      </x:c>
      <x:c r="G54" s="2" t="n">
        <x:v>49</x:v>
      </x:c>
      <x:c r="H54" s="10" t="n">
        <x:f>IF(F54=0,"无销量",D54*30/F54)</x:f>
        <x:v>1010.7692307692307</x:v>
      </x:c>
      <x:c r="I54" s="10" t="n">
        <x:f>IF(G54=0,"无销量",D54*90/G54)</x:f>
        <x:v>1608.9795918367347</x:v>
      </x:c>
    </x:row>
    <x:row r="55" ht="27" customHeight="1">
      <x:c r="A55" s="2" t="str">
        <x:v>PROD10046</x:v>
      </x:c>
      <x:c r="B55" s="2" t="str">
        <x:v>Fashion</x:v>
      </x:c>
      <x:c r="C55" s="2" t="str">
        <x:v>Virk, Classic Winter Wear</x:v>
      </x:c>
      <x:c r="D55" s="2" t="n">
        <x:v>1361</x:v>
      </x:c>
      <x:c r="E55" s="11" t="n">
        <x:v>46022.5</x:v>
      </x:c>
      <x:c r="F55" s="2" t="n">
        <x:v>28</x:v>
      </x:c>
      <x:c r="G55" s="2" t="n">
        <x:v>63</x:v>
      </x:c>
      <x:c r="H55" s="10" t="n">
        <x:f>IF(F55=0,"无销量",D55*30/F55)</x:f>
        <x:v>1458.2142857142858</x:v>
      </x:c>
      <x:c r="I55" s="10" t="n">
        <x:f>IF(G55=0,"无销量",D55*90/G55)</x:f>
        <x:v>1944.2857142857142</x:v>
      </x:c>
    </x:row>
    <x:row r="56" ht="27" customHeight="1">
      <x:c r="A56" s="2" t="str">
        <x:v>PROD10047</x:v>
      </x:c>
      <x:c r="B56" s="2" t="str">
        <x:v>Furniture</x:v>
      </x:c>
      <x:c r="C56" s="2" t="str">
        <x:v>Ray, Pro Office Furniture</x:v>
      </x:c>
      <x:c r="D56" s="2" t="n">
        <x:v>1871</x:v>
      </x:c>
      <x:c r="E56" s="11" t="n">
        <x:v>46022.5</x:v>
      </x:c>
      <x:c r="F56" s="2" t="n">
        <x:v>10</x:v>
      </x:c>
      <x:c r="G56" s="2" t="n">
        <x:v>29</x:v>
      </x:c>
      <x:c r="H56" s="10" t="n">
        <x:f>IF(F56=0,"无销量",D56*30/F56)</x:f>
        <x:v>5613</x:v>
      </x:c>
      <x:c r="I56" s="10" t="n">
        <x:f>IF(G56=0,"无销量",D56*90/G56)</x:f>
        <x:v>5806.551724137931</x:v>
      </x:c>
    </x:row>
    <x:row r="57" ht="27" customHeight="1">
      <x:c r="A57" s="2" t="str">
        <x:v>PROD10048</x:v>
      </x:c>
      <x:c r="B57" s="2" t="str">
        <x:v>Sports</x:v>
      </x:c>
      <x:c r="C57" s="2" t="str">
        <x:v>Choudhury, Basic Cricket Gear</x:v>
      </x:c>
      <x:c r="D57" s="2" t="n">
        <x:v>323</x:v>
      </x:c>
      <x:c r="E57" s="11" t="n">
        <x:v>46022.5</x:v>
      </x:c>
      <x:c r="F57" s="2" t="n">
        <x:v>33</x:v>
      </x:c>
      <x:c r="G57" s="2" t="n">
        <x:v>94</x:v>
      </x:c>
      <x:c r="H57" s="10" t="n">
        <x:f>IF(F57=0,"无销量",D57*30/F57)</x:f>
        <x:v>293.6363636363636</x:v>
      </x:c>
      <x:c r="I57" s="10" t="n">
        <x:f>IF(G57=0,"无销量",D57*90/G57)</x:f>
        <x:v>309.25531914893617</x:v>
      </x:c>
    </x:row>
    <x:row r="58" ht="27" customHeight="1">
      <x:c r="A58" s="2" t="str">
        <x:v>PROD10049</x:v>
      </x:c>
      <x:c r="B58" s="2" t="str">
        <x:v>Electronics</x:v>
      </x:c>
      <x:c r="C58" s="2" t="str">
        <x:v>Handa Compact Tablet</x:v>
      </x:c>
      <x:c r="D58" s="2" t="n">
        <x:v>1806</x:v>
      </x:c>
      <x:c r="E58" s="11" t="n">
        <x:v>46022.5</x:v>
      </x:c>
      <x:c r="F58" s="2" t="n">
        <x:v>27</x:v>
      </x:c>
      <x:c r="G58" s="2" t="n">
        <x:v>57</x:v>
      </x:c>
      <x:c r="H58" s="10" t="n">
        <x:f>IF(F58=0,"无销量",D58*30/F58)</x:f>
        <x:v>2006.6666666666667</x:v>
      </x:c>
      <x:c r="I58" s="10" t="n">
        <x:f>IF(G58=0,"无销量",D58*90/G58)</x:f>
        <x:v>2851.5789473684213</x:v>
      </x:c>
    </x:row>
    <x:row r="59" ht="27" customHeight="1">
      <x:c r="A59" s="2" t="str">
        <x:v>PROD10050</x:v>
      </x:c>
      <x:c r="B59" s="2" t="str">
        <x:v>Fashion</x:v>
      </x:c>
      <x:c r="C59" s="2" t="str">
        <x:v>Boase-Narayanan Classic Women's Ethnic Wear</x:v>
      </x:c>
      <x:c r="D59" s="2" t="n">
        <x:v>2230</x:v>
      </x:c>
      <x:c r="E59" s="11" t="n">
        <x:v>46022.5</x:v>
      </x:c>
      <x:c r="F59" s="2" t="n">
        <x:v>38</x:v>
      </x:c>
      <x:c r="G59" s="2" t="n">
        <x:v>106</x:v>
      </x:c>
      <x:c r="H59" s="10" t="n">
        <x:f>IF(F59=0,"无销量",D59*30/F59)</x:f>
        <x:v>1760.5263157894738</x:v>
      </x:c>
      <x:c r="I59" s="10" t="n">
        <x:f>IF(G59=0,"无销量",D59*90/G59)</x:f>
        <x:v>1893.3962264150944</x:v>
      </x:c>
    </x:row>
    <x:row r="60" ht="27" customHeight="1">
      <x:c r="A60" s="2" t="str">
        <x:v>PROD10051</x:v>
      </x:c>
      <x:c r="B60" s="2" t="str">
        <x:v>Fashion</x:v>
      </x:c>
      <x:c r="C60" s="2" t="str">
        <x:v>Ramakrishnan Advanced Winter Wear</x:v>
      </x:c>
      <x:c r="D60" s="2" t="n">
        <x:v>2313</x:v>
      </x:c>
      <x:c r="E60" s="11" t="n">
        <x:v>46022.5</x:v>
      </x:c>
      <x:c r="F60" s="2" t="n">
        <x:v>325</x:v>
      </x:c>
      <x:c r="G60" s="2" t="n">
        <x:v>797</x:v>
      </x:c>
      <x:c r="H60" s="10" t="n">
        <x:f>IF(F60=0,"无销量",D60*30/F60)</x:f>
        <x:v>213.5076923076923</x:v>
      </x:c>
      <x:c r="I60" s="10" t="n">
        <x:f>IF(G60=0,"无销量",D60*90/G60)</x:f>
        <x:v>261.19196988707654</x:v>
      </x:c>
    </x:row>
    <x:row r="61" ht="27" customHeight="1">
      <x:c r="A61" s="2" t="str">
        <x:v>PROD10052</x:v>
      </x:c>
      <x:c r="B61" s="2" t="str">
        <x:v>Beauty</x:v>
      </x:c>
      <x:c r="C61" s="2" t="str">
        <x:v>Setty Smart Makeup</x:v>
      </x:c>
      <x:c r="D61" s="2" t="n">
        <x:v>1743</x:v>
      </x:c>
      <x:c r="E61" s="11" t="n">
        <x:v>46022.5</x:v>
      </x:c>
      <x:c r="F61" s="2" t="n">
        <x:v>34</x:v>
      </x:c>
      <x:c r="G61" s="2" t="n">
        <x:v>83</x:v>
      </x:c>
      <x:c r="H61" s="10" t="n">
        <x:f>IF(F61=0,"无销量",D61*30/F61)</x:f>
        <x:v>1537.9411764705883</x:v>
      </x:c>
      <x:c r="I61" s="10" t="n">
        <x:f>IF(G61=0,"无销量",D61*90/G61)</x:f>
        <x:v>1890</x:v>
      </x:c>
    </x:row>
    <x:row r="62" ht="27" customHeight="1">
      <x:c r="A62" s="2" t="str">
        <x:v>PROD10053</x:v>
      </x:c>
      <x:c r="B62" s="2" t="str">
        <x:v>Personal Care</x:v>
      </x:c>
      <x:c r="C62" s="2" t="str">
        <x:v>Kala-Vaidya Compact Oral Care</x:v>
      </x:c>
      <x:c r="D62" s="2" t="n">
        <x:v>657</x:v>
      </x:c>
      <x:c r="E62" s="11" t="n">
        <x:v>46022.5</x:v>
      </x:c>
      <x:c r="F62" s="2" t="n">
        <x:v>2</x:v>
      </x:c>
      <x:c r="G62" s="2" t="n">
        <x:v>20</x:v>
      </x:c>
      <x:c r="H62" s="10" t="n">
        <x:f>IF(F62=0,"无销量",D62*30/F62)</x:f>
        <x:v>9855</x:v>
      </x:c>
      <x:c r="I62" s="10" t="n">
        <x:f>IF(G62=0,"无销量",D62*90/G62)</x:f>
        <x:v>2956.5</x:v>
      </x:c>
    </x:row>
    <x:row r="63" ht="27" customHeight="1">
      <x:c r="A63" s="2" t="str">
        <x:v>PROD10054</x:v>
      </x:c>
      <x:c r="B63" s="2" t="str">
        <x:v>Appliances</x:v>
      </x:c>
      <x:c r="C63" s="2" t="str">
        <x:v>Thaman-Sandhu Smart Kitchen Appliance</x:v>
      </x:c>
      <x:c r="D63" s="2" t="n">
        <x:v>2798</x:v>
      </x:c>
      <x:c r="E63" s="11" t="n">
        <x:v>46022.5</x:v>
      </x:c>
      <x:c r="F63" s="2" t="n">
        <x:v>16</x:v>
      </x:c>
      <x:c r="G63" s="2" t="n">
        <x:v>19</x:v>
      </x:c>
      <x:c r="H63" s="10" t="n">
        <x:f>IF(F63=0,"无销量",D63*30/F63)</x:f>
        <x:v>5246.25</x:v>
      </x:c>
      <x:c r="I63" s="10" t="n">
        <x:f>IF(G63=0,"无销量",D63*90/G63)</x:f>
        <x:v>13253.684210526315</x:v>
      </x:c>
    </x:row>
    <x:row r="64" ht="27" customHeight="1">
      <x:c r="A64" s="2" t="str">
        <x:v>PROD10055</x:v>
      </x:c>
      <x:c r="B64" s="2" t="str">
        <x:v>Watches</x:v>
      </x:c>
      <x:c r="C64" s="2" t="str">
        <x:v>Kaul Classic Smart Watche</x:v>
      </x:c>
      <x:c r="D64" s="2" t="n">
        <x:v>2861</x:v>
      </x:c>
      <x:c r="E64" s="11" t="n">
        <x:v>46022.5</x:v>
      </x:c>
      <x:c r="F64" s="2" t="n">
        <x:v>18</x:v>
      </x:c>
      <x:c r="G64" s="2" t="n">
        <x:v>24</x:v>
      </x:c>
      <x:c r="H64" s="10" t="n">
        <x:f>IF(F64=0,"无销量",D64*30/F64)</x:f>
        <x:v>4768.333333333333</x:v>
      </x:c>
      <x:c r="I64" s="10" t="n">
        <x:f>IF(G64=0,"无销量",D64*90/G64)</x:f>
        <x:v>10728.75</x:v>
      </x:c>
    </x:row>
    <x:row r="65" ht="27" customHeight="1">
      <x:c r="A65" s="2" t="str">
        <x:v>PROD10056</x:v>
      </x:c>
      <x:c r="B65" s="2" t="str">
        <x:v>Pet Supplies</x:v>
      </x:c>
      <x:c r="C65" s="2" t="str">
        <x:v>Sur, Essential Pet Accessorie</x:v>
      </x:c>
      <x:c r="D65" s="2" t="n">
        <x:v>2210</x:v>
      </x:c>
      <x:c r="E65" s="11" t="n">
        <x:v>46022.5</x:v>
      </x:c>
      <x:c r="F65" s="2" t="n">
        <x:v>17</x:v>
      </x:c>
      <x:c r="G65" s="2" t="n">
        <x:v>32</x:v>
      </x:c>
      <x:c r="H65" s="10" t="n">
        <x:f>IF(F65=0,"无销量",D65*30/F65)</x:f>
        <x:v>3900</x:v>
      </x:c>
      <x:c r="I65" s="10" t="n">
        <x:f>IF(G65=0,"无销量",D65*90/G65)</x:f>
        <x:v>6215.625</x:v>
      </x:c>
    </x:row>
    <x:row r="66" ht="27" customHeight="1">
      <x:c r="A66" s="2" t="str">
        <x:v>PROD10057</x:v>
      </x:c>
      <x:c r="B66" s="2" t="str">
        <x:v>Home &amp; Kitchen</x:v>
      </x:c>
      <x:c r="C66" s="2" t="str">
        <x:v>Solanki, Signature Cookware</x:v>
      </x:c>
      <x:c r="D66" s="2" t="n">
        <x:v>1641</x:v>
      </x:c>
      <x:c r="E66" s="11" t="n">
        <x:v>46022.5</x:v>
      </x:c>
      <x:c r="F66" s="2" t="n">
        <x:v>69</x:v>
      </x:c>
      <x:c r="G66" s="2" t="n">
        <x:v>119</x:v>
      </x:c>
      <x:c r="H66" s="10" t="n">
        <x:f>IF(F66=0,"无销量",D66*30/F66)</x:f>
        <x:v>713.4782608695652</x:v>
      </x:c>
      <x:c r="I66" s="10" t="n">
        <x:f>IF(G66=0,"无销量",D66*90/G66)</x:f>
        <x:v>1241.09243697479</x:v>
      </x:c>
    </x:row>
    <x:row r="67" ht="27" customHeight="1">
      <x:c r="A67" s="2" t="str">
        <x:v>PROD10058</x:v>
      </x:c>
      <x:c r="B67" s="2" t="str">
        <x:v>Electronics</x:v>
      </x:c>
      <x:c r="C67" s="2" t="str">
        <x:v>Konda, Basic Smartphone</x:v>
      </x:c>
      <x:c r="D67" s="2" t="n">
        <x:v>2583</x:v>
      </x:c>
      <x:c r="E67" s="11" t="n">
        <x:v>46022.5</x:v>
      </x:c>
      <x:c r="F67" s="2" t="n">
        <x:v>48</x:v>
      </x:c>
      <x:c r="G67" s="2" t="n">
        <x:v>120</x:v>
      </x:c>
      <x:c r="H67" s="10" t="n">
        <x:f>IF(F67=0,"无销量",D67*30/F67)</x:f>
        <x:v>1614.375</x:v>
      </x:c>
      <x:c r="I67" s="10" t="n">
        <x:f>IF(G67=0,"无销量",D67*90/G67)</x:f>
        <x:v>1937.25</x:v>
      </x:c>
    </x:row>
    <x:row r="68" ht="27" customHeight="1">
      <x:c r="A68" s="2" t="str">
        <x:v>PROD10059</x:v>
      </x:c>
      <x:c r="B68" s="2" t="str">
        <x:v>Bags</x:v>
      </x:c>
      <x:c r="C68" s="2" t="str">
        <x:v>Rai Compact Wallet</x:v>
      </x:c>
      <x:c r="D68" s="2" t="n">
        <x:v>758</x:v>
      </x:c>
      <x:c r="E68" s="11" t="n">
        <x:v>46022.5</x:v>
      </x:c>
      <x:c r="F68" s="2" t="n">
        <x:v>43</x:v>
      </x:c>
      <x:c r="G68" s="2" t="n">
        <x:v>80</x:v>
      </x:c>
      <x:c r="H68" s="10" t="n">
        <x:f>IF(F68=0,"无销量",D68*30/F68)</x:f>
        <x:v>528.8372093023256</x:v>
      </x:c>
      <x:c r="I68" s="10" t="n">
        <x:f>IF(G68=0,"无销量",D68*90/G68)</x:f>
        <x:v>852.75</x:v>
      </x:c>
    </x:row>
    <x:row r="69" ht="27" customHeight="1">
      <x:c r="A69" s="2" t="str">
        <x:v>PROD10060</x:v>
      </x:c>
      <x:c r="B69" s="2" t="str">
        <x:v>Mobile Accessories</x:v>
      </x:c>
      <x:c r="C69" s="2" t="str">
        <x:v>Batta Advanced Cable</x:v>
      </x:c>
      <x:c r="D69" s="2" t="n">
        <x:v>1099</x:v>
      </x:c>
      <x:c r="E69" s="11" t="n">
        <x:v>46022.5</x:v>
      </x:c>
      <x:c r="F69" s="2" t="n">
        <x:v>26</x:v>
      </x:c>
      <x:c r="G69" s="2" t="n">
        <x:v>56</x:v>
      </x:c>
      <x:c r="H69" s="10" t="n">
        <x:f>IF(F69=0,"无销量",D69*30/F69)</x:f>
        <x:v>1268.076923076923</x:v>
      </x:c>
      <x:c r="I69" s="10" t="n">
        <x:f>IF(G69=0,"无销量",D69*90/G69)</x:f>
        <x:v>1766.25</x:v>
      </x:c>
    </x:row>
    <x:row r="70" ht="27" customHeight="1">
      <x:c r="A70" s="2" t="str">
        <x:v>PROD10061</x:v>
      </x:c>
      <x:c r="B70" s="2" t="str">
        <x:v>Fashion</x:v>
      </x:c>
      <x:c r="C70" s="2" t="str">
        <x:v>Varma-Nayak Pro Women's Western Wear</x:v>
      </x:c>
      <x:c r="D70" s="2" t="n">
        <x:v>37</x:v>
      </x:c>
      <x:c r="E70" s="11" t="n">
        <x:v>46022.5</x:v>
      </x:c>
      <x:c r="F70" s="2" t="n">
        <x:v>7</x:v>
      </x:c>
      <x:c r="G70" s="2" t="n">
        <x:v>17</x:v>
      </x:c>
      <x:c r="H70" s="10" t="n">
        <x:f>IF(F70=0,"无销量",D70*30/F70)</x:f>
        <x:v>158.57142857142858</x:v>
      </x:c>
      <x:c r="I70" s="10" t="n">
        <x:f>IF(G70=0,"无销量",D70*90/G70)</x:f>
        <x:v>195.88235294117646</x:v>
      </x:c>
    </x:row>
    <x:row r="71" ht="27" customHeight="1">
      <x:c r="A71" s="2" t="str">
        <x:v>PROD10062</x:v>
      </x:c>
      <x:c r="B71" s="2" t="str">
        <x:v>Beauty</x:v>
      </x:c>
      <x:c r="C71" s="2" t="str">
        <x:v>Acharya-Modi Signature Haircare</x:v>
      </x:c>
      <x:c r="D71" s="2" t="n">
        <x:v>2912</x:v>
      </x:c>
      <x:c r="E71" s="11" t="n">
        <x:v>46022.5</x:v>
      </x:c>
      <x:c r="F71" s="2" t="n">
        <x:v>31</x:v>
      </x:c>
      <x:c r="G71" s="2" t="n">
        <x:v>77</x:v>
      </x:c>
      <x:c r="H71" s="10" t="n">
        <x:f>IF(F71=0,"无销量",D71*30/F71)</x:f>
        <x:v>2818.064516129032</x:v>
      </x:c>
      <x:c r="I71" s="10" t="n">
        <x:f>IF(G71=0,"无销量",D71*90/G71)</x:f>
        <x:v>3403.6363636363635</x:v>
      </x:c>
    </x:row>
    <x:row r="72" ht="27" customHeight="1">
      <x:c r="A72" s="2" t="str">
        <x:v>PROD10063</x:v>
      </x:c>
      <x:c r="B72" s="2" t="str">
        <x:v>Electronics</x:v>
      </x:c>
      <x:c r="C72" s="2" t="str">
        <x:v>Dara-Kota Compact Smartwatche</x:v>
      </x:c>
      <x:c r="D72" s="2" t="n">
        <x:v>2114</x:v>
      </x:c>
      <x:c r="E72" s="11" t="n">
        <x:v>46022.5</x:v>
      </x:c>
      <x:c r="F72" s="2" t="n">
        <x:v>18</x:v>
      </x:c>
      <x:c r="G72" s="2" t="n">
        <x:v>55</x:v>
      </x:c>
      <x:c r="H72" s="10" t="n">
        <x:f>IF(F72=0,"无销量",D72*30/F72)</x:f>
        <x:v>3523.3333333333335</x:v>
      </x:c>
      <x:c r="I72" s="10" t="n">
        <x:f>IF(G72=0,"无销量",D72*90/G72)</x:f>
        <x:v>3459.2727272727275</x:v>
      </x:c>
    </x:row>
    <x:row r="73" ht="27" customHeight="1">
      <x:c r="A73" s="2" t="str">
        <x:v>PROD10064</x:v>
      </x:c>
      <x:c r="B73" s="2" t="str">
        <x:v>Baby Care</x:v>
      </x:c>
      <x:c r="C73" s="2" t="str">
        <x:v>Sampath, Basic Baby Gear</x:v>
      </x:c>
      <x:c r="D73" s="2" t="n">
        <x:v>42</x:v>
      </x:c>
      <x:c r="E73" s="11" t="n">
        <x:v>46022.5</x:v>
      </x:c>
      <x:c r="F73" s="2" t="n">
        <x:v>46</x:v>
      </x:c>
      <x:c r="G73" s="2" t="n">
        <x:v>147</x:v>
      </x:c>
      <x:c r="H73" s="10" t="n">
        <x:f>IF(F73=0,"无销量",D73*30/F73)</x:f>
        <x:v>27.391304347826086</x:v>
      </x:c>
      <x:c r="I73" s="10" t="n">
        <x:f>IF(G73=0,"无销量",D73*90/G73)</x:f>
        <x:v>25.714285714285715</x:v>
      </x:c>
    </x:row>
    <x:row r="74" ht="27" customHeight="1">
      <x:c r="A74" s="2" t="str">
        <x:v>PROD10065</x:v>
      </x:c>
      <x:c r="B74" s="2" t="str">
        <x:v>Sports</x:v>
      </x:c>
      <x:c r="C74" s="2" t="str">
        <x:v>Behl-Chanda Advanced Yoga</x:v>
      </x:c>
      <x:c r="D74" s="2" t="n">
        <x:v>2394</x:v>
      </x:c>
      <x:c r="E74" s="11" t="n">
        <x:v>46022.5</x:v>
      </x:c>
      <x:c r="F74" s="2" t="n">
        <x:v>0</x:v>
      </x:c>
      <x:c r="G74" s="2" t="n">
        <x:v>4</x:v>
      </x:c>
      <x:c r="H74" s="10" t="str">
        <x:f>IF(F74=0,"无销量",D74*30/F74)</x:f>
        <x:v>无销量</x:v>
      </x:c>
      <x:c r="I74" s="10" t="n">
        <x:f>IF(G74=0,"无销量",D74*90/G74)</x:f>
        <x:v>53865</x:v>
      </x:c>
    </x:row>
    <x:row r="75" ht="27" customHeight="1">
      <x:c r="A75" s="2" t="str">
        <x:v>PROD10066</x:v>
      </x:c>
      <x:c r="B75" s="2" t="str">
        <x:v>Fashion</x:v>
      </x:c>
      <x:c r="C75" s="2" t="str">
        <x:v>Pingle Everyday Winter Wear</x:v>
      </x:c>
      <x:c r="D75" s="2" t="n">
        <x:v>297</x:v>
      </x:c>
      <x:c r="E75" s="11" t="n">
        <x:v>46022.5</x:v>
      </x:c>
      <x:c r="F75" s="2" t="n">
        <x:v>59</x:v>
      </x:c>
      <x:c r="G75" s="2" t="n">
        <x:v>114</x:v>
      </x:c>
      <x:c r="H75" s="10" t="n">
        <x:f>IF(F75=0,"无销量",D75*30/F75)</x:f>
        <x:v>151.01694915254237</x:v>
      </x:c>
      <x:c r="I75" s="10" t="n">
        <x:f>IF(G75=0,"无销量",D75*90/G75)</x:f>
        <x:v>234.47368421052633</x:v>
      </x:c>
    </x:row>
    <x:row r="76" ht="27" customHeight="1">
      <x:c r="A76" s="2" t="str">
        <x:v>PROD10067</x:v>
      </x:c>
      <x:c r="B76" s="2" t="str">
        <x:v>Footwear</x:v>
      </x:c>
      <x:c r="C76" s="2" t="str">
        <x:v>Dutta-Chokshi Classic Formal Shoe</x:v>
      </x:c>
      <x:c r="D76" s="2" t="n">
        <x:v>329</x:v>
      </x:c>
      <x:c r="E76" s="11" t="n">
        <x:v>46022.5</x:v>
      </x:c>
      <x:c r="F76" s="2" t="n">
        <x:v>164</x:v>
      </x:c>
      <x:c r="G76" s="2" t="n">
        <x:v>393</x:v>
      </x:c>
      <x:c r="H76" s="10" t="n">
        <x:f>IF(F76=0,"无销量",D76*30/F76)</x:f>
        <x:v>60.18292682926829</x:v>
      </x:c>
      <x:c r="I76" s="10" t="n">
        <x:f>IF(G76=0,"无销量",D76*90/G76)</x:f>
        <x:v>75.34351145038168</x:v>
      </x:c>
    </x:row>
    <x:row r="77" ht="27" customHeight="1">
      <x:c r="A77" s="2" t="str">
        <x:v>PROD10068</x:v>
      </x:c>
      <x:c r="B77" s="2" t="str">
        <x:v>Grocery</x:v>
      </x:c>
      <x:c r="C77" s="2" t="str">
        <x:v>Amble Classic Snack</x:v>
      </x:c>
      <x:c r="D77" s="2" t="n">
        <x:v>1066</x:v>
      </x:c>
      <x:c r="E77" s="11" t="n">
        <x:v>46022.5</x:v>
      </x:c>
      <x:c r="F77" s="2" t="n">
        <x:v>20</x:v>
      </x:c>
      <x:c r="G77" s="2" t="n">
        <x:v>28</x:v>
      </x:c>
      <x:c r="H77" s="10" t="n">
        <x:f>IF(F77=0,"无销量",D77*30/F77)</x:f>
        <x:v>1599</x:v>
      </x:c>
      <x:c r="I77" s="10" t="n">
        <x:f>IF(G77=0,"无销量",D77*90/G77)</x:f>
        <x:v>3426.4285714285716</x:v>
      </x:c>
    </x:row>
    <x:row r="78" ht="27" customHeight="1">
      <x:c r="A78" s="2" t="str">
        <x:v>PROD10069</x:v>
      </x:c>
      <x:c r="B78" s="2" t="str">
        <x:v>Books</x:v>
      </x:c>
      <x:c r="C78" s="2" t="str">
        <x:v>Bala, Signature Academic</x:v>
      </x:c>
      <x:c r="D78" s="2" t="n">
        <x:v>1221</x:v>
      </x:c>
      <x:c r="E78" s="11" t="n">
        <x:v>46022.5</x:v>
      </x:c>
      <x:c r="F78" s="2" t="n">
        <x:v>17</x:v>
      </x:c>
      <x:c r="G78" s="2" t="n">
        <x:v>65</x:v>
      </x:c>
      <x:c r="H78" s="10" t="n">
        <x:f>IF(F78=0,"无销量",D78*30/F78)</x:f>
        <x:v>2154.705882352941</x:v>
      </x:c>
      <x:c r="I78" s="10" t="n">
        <x:f>IF(G78=0,"无销量",D78*90/G78)</x:f>
        <x:v>1690.6153846153845</x:v>
      </x:c>
    </x:row>
    <x:row r="79" ht="27" customHeight="1">
      <x:c r="A79" s="2" t="str">
        <x:v>PROD10070</x:v>
      </x:c>
      <x:c r="B79" s="2" t="str">
        <x:v>Fashion</x:v>
      </x:c>
      <x:c r="C79" s="2" t="str">
        <x:v>Bhargava, Signature Kids Wear</x:v>
      </x:c>
      <x:c r="D79" s="2" t="n">
        <x:v>1101</x:v>
      </x:c>
      <x:c r="E79" s="11" t="n">
        <x:v>46022.5</x:v>
      </x:c>
      <x:c r="F79" s="2" t="n">
        <x:v>66</x:v>
      </x:c>
      <x:c r="G79" s="2" t="n">
        <x:v>147</x:v>
      </x:c>
      <x:c r="H79" s="10" t="n">
        <x:f>IF(F79=0,"无销量",D79*30/F79)</x:f>
        <x:v>500.45454545454544</x:v>
      </x:c>
      <x:c r="I79" s="10" t="n">
        <x:f>IF(G79=0,"无销量",D79*90/G79)</x:f>
        <x:v>674.0816326530612</x:v>
      </x:c>
    </x:row>
    <x:row r="80" ht="27" customHeight="1">
      <x:c r="A80" s="2" t="str">
        <x:v>PROD10071</x:v>
      </x:c>
      <x:c r="B80" s="2" t="str">
        <x:v>Electronics</x:v>
      </x:c>
      <x:c r="C80" s="2" t="str">
        <x:v>Kapoor Classic Laptop</x:v>
      </x:c>
      <x:c r="D80" s="2" t="n">
        <x:v>1177</x:v>
      </x:c>
      <x:c r="E80" s="11" t="n">
        <x:v>46022.5</x:v>
      </x:c>
      <x:c r="F80" s="2" t="n">
        <x:v>42</x:v>
      </x:c>
      <x:c r="G80" s="2" t="n">
        <x:v>85</x:v>
      </x:c>
      <x:c r="H80" s="10" t="n">
        <x:f>IF(F80=0,"无销量",D80*30/F80)</x:f>
        <x:v>840.7142857142857</x:v>
      </x:c>
      <x:c r="I80" s="10" t="n">
        <x:f>IF(G80=0,"无销量",D80*90/G80)</x:f>
        <x:v>1246.235294117647</x:v>
      </x:c>
    </x:row>
    <x:row r="81" ht="27" customHeight="1">
      <x:c r="A81" s="2" t="str">
        <x:v>PROD10072</x:v>
      </x:c>
      <x:c r="B81" s="2" t="str">
        <x:v>Electronics</x:v>
      </x:c>
      <x:c r="C81" s="2" t="str">
        <x:v>Boase, Essential Tablet</x:v>
      </x:c>
      <x:c r="D81" s="2" t="n">
        <x:v>1554</x:v>
      </x:c>
      <x:c r="E81" s="11" t="n">
        <x:v>46022.5</x:v>
      </x:c>
      <x:c r="F81" s="2" t="n">
        <x:v>113</x:v>
      </x:c>
      <x:c r="G81" s="2" t="n">
        <x:v>363</x:v>
      </x:c>
      <x:c r="H81" s="10" t="n">
        <x:f>IF(F81=0,"无销量",D81*30/F81)</x:f>
        <x:v>412.56637168141594</x:v>
      </x:c>
      <x:c r="I81" s="10" t="n">
        <x:f>IF(G81=0,"无销量",D81*90/G81)</x:f>
        <x:v>385.2892561983471</x:v>
      </x:c>
    </x:row>
    <x:row r="82" ht="27" customHeight="1">
      <x:c r="A82" s="2" t="str">
        <x:v>PROD10073</x:v>
      </x:c>
      <x:c r="B82" s="2" t="str">
        <x:v>Automotive Accessories</x:v>
      </x:c>
      <x:c r="C82" s="2" t="str">
        <x:v>Sami, Smart Car Accessorie</x:v>
      </x:c>
      <x:c r="D82" s="2" t="n">
        <x:v>1971</x:v>
      </x:c>
      <x:c r="E82" s="11" t="n">
        <x:v>46022.5</x:v>
      </x:c>
      <x:c r="F82" s="2" t="n">
        <x:v>37</x:v>
      </x:c>
      <x:c r="G82" s="2" t="n">
        <x:v>104</x:v>
      </x:c>
      <x:c r="H82" s="10" t="n">
        <x:f>IF(F82=0,"无销量",D82*30/F82)</x:f>
        <x:v>1598.1081081081081</x:v>
      </x:c>
      <x:c r="I82" s="10" t="n">
        <x:f>IF(G82=0,"无销量",D82*90/G82)</x:f>
        <x:v>1705.673076923077</x:v>
      </x:c>
    </x:row>
    <x:row r="83" ht="27" customHeight="1">
      <x:c r="A83" s="2" t="str">
        <x:v>PROD10074</x:v>
      </x:c>
      <x:c r="B83" s="2" t="str">
        <x:v>Health &amp; Wellness</x:v>
      </x:c>
      <x:c r="C83" s="2" t="str">
        <x:v>More, Essential Supplement</x:v>
      </x:c>
      <x:c r="D83" s="2" t="n">
        <x:v>320</x:v>
      </x:c>
      <x:c r="E83" s="11" t="n">
        <x:v>46022.5</x:v>
      </x:c>
      <x:c r="F83" s="2" t="n">
        <x:v>7</x:v>
      </x:c>
      <x:c r="G83" s="2" t="n">
        <x:v>9</x:v>
      </x:c>
      <x:c r="H83" s="10" t="n">
        <x:f>IF(F83=0,"无销量",D83*30/F83)</x:f>
        <x:v>1371.4285714285713</x:v>
      </x:c>
      <x:c r="I83" s="10" t="n">
        <x:f>IF(G83=0,"无销量",D83*90/G83)</x:f>
        <x:v>3200</x:v>
      </x:c>
    </x:row>
    <x:row r="84" ht="27" customHeight="1">
      <x:c r="A84" s="2" t="str">
        <x:v>PROD10075</x:v>
      </x:c>
      <x:c r="B84" s="2" t="str">
        <x:v>Grocery</x:v>
      </x:c>
      <x:c r="C84" s="2" t="str">
        <x:v>Lanka, Essential Beverage</x:v>
      </x:c>
      <x:c r="D84" s="2" t="n">
        <x:v>1169</x:v>
      </x:c>
      <x:c r="E84" s="11" t="n">
        <x:v>46022.5</x:v>
      </x:c>
      <x:c r="F84" s="2" t="n">
        <x:v>8</x:v>
      </x:c>
      <x:c r="G84" s="2" t="n">
        <x:v>14</x:v>
      </x:c>
      <x:c r="H84" s="10" t="n">
        <x:f>IF(F84=0,"无销量",D84*30/F84)</x:f>
        <x:v>4383.75</x:v>
      </x:c>
      <x:c r="I84" s="10" t="n">
        <x:f>IF(G84=0,"无销量",D84*90/G84)</x:f>
        <x:v>7515</x:v>
      </x:c>
    </x:row>
    <x:row r="85" ht="27" customHeight="1">
      <x:c r="A85" s="2" t="str">
        <x:v>PROD10076</x:v>
      </x:c>
      <x:c r="B85" s="2" t="str">
        <x:v>Health &amp; Wellness</x:v>
      </x:c>
      <x:c r="C85" s="2" t="str">
        <x:v>Dutta Basic Medical Device</x:v>
      </x:c>
      <x:c r="D85" s="2" t="n">
        <x:v>1036</x:v>
      </x:c>
      <x:c r="E85" s="11" t="n">
        <x:v>46022.5</x:v>
      </x:c>
      <x:c r="F85" s="2" t="n">
        <x:v>3</x:v>
      </x:c>
      <x:c r="G85" s="2" t="n">
        <x:v>27</x:v>
      </x:c>
      <x:c r="H85" s="10" t="n">
        <x:f>IF(F85=0,"无销量",D85*30/F85)</x:f>
        <x:v>10360</x:v>
      </x:c>
      <x:c r="I85" s="10" t="n">
        <x:f>IF(G85=0,"无销量",D85*90/G85)</x:f>
        <x:v>3453.3333333333335</x:v>
      </x:c>
    </x:row>
    <x:row r="86" ht="27" customHeight="1">
      <x:c r="A86" s="2" t="str">
        <x:v>PROD10077</x:v>
      </x:c>
      <x:c r="B86" s="2" t="str">
        <x:v>Bags</x:v>
      </x:c>
      <x:c r="C86" s="2" t="str">
        <x:v>Gupta-Chandra Everyday Wallet</x:v>
      </x:c>
      <x:c r="D86" s="2" t="n">
        <x:v>891</x:v>
      </x:c>
      <x:c r="E86" s="11" t="n">
        <x:v>46022.5</x:v>
      </x:c>
      <x:c r="F86" s="2" t="n">
        <x:v>43</x:v>
      </x:c>
      <x:c r="G86" s="2" t="n">
        <x:v>102</x:v>
      </x:c>
      <x:c r="H86" s="10" t="n">
        <x:f>IF(F86=0,"无销量",D86*30/F86)</x:f>
        <x:v>621.6279069767442</x:v>
      </x:c>
      <x:c r="I86" s="10" t="n">
        <x:f>IF(G86=0,"无销量",D86*90/G86)</x:f>
        <x:v>786.1764705882352</x:v>
      </x:c>
    </x:row>
    <x:row r="87" ht="27" customHeight="1">
      <x:c r="A87" s="2" t="str">
        <x:v>PROD10078</x:v>
      </x:c>
      <x:c r="B87" s="2" t="str">
        <x:v>Fashion</x:v>
      </x:c>
      <x:c r="C87" s="2" t="str">
        <x:v>Sunder, Classic Women's Western Wear</x:v>
      </x:c>
      <x:c r="D87" s="2" t="n">
        <x:v>1686</x:v>
      </x:c>
      <x:c r="E87" s="11" t="n">
        <x:v>46022.5</x:v>
      </x:c>
      <x:c r="F87" s="2" t="n">
        <x:v>329</x:v>
      </x:c>
      <x:c r="G87" s="2" t="n">
        <x:v>933</x:v>
      </x:c>
      <x:c r="H87" s="10" t="n">
        <x:f>IF(F87=0,"无销量",D87*30/F87)</x:f>
        <x:v>153.7386018237082</x:v>
      </x:c>
      <x:c r="I87" s="10" t="n">
        <x:f>IF(G87=0,"无销量",D87*90/G87)</x:f>
        <x:v>162.63665594855306</x:v>
      </x:c>
    </x:row>
    <x:row r="88" ht="27" customHeight="1">
      <x:c r="A88" s="2" t="str">
        <x:v>PROD10079</x:v>
      </x:c>
      <x:c r="B88" s="2" t="str">
        <x:v>Home &amp; Kitchen</x:v>
      </x:c>
      <x:c r="C88" s="2" t="str">
        <x:v>Krish, Smart Cookware</x:v>
      </x:c>
      <x:c r="D88" s="2" t="n">
        <x:v>2213</x:v>
      </x:c>
      <x:c r="E88" s="11" t="n">
        <x:v>46022.5</x:v>
      </x:c>
      <x:c r="F88" s="2" t="n">
        <x:v>23</x:v>
      </x:c>
      <x:c r="G88" s="2" t="n">
        <x:v>57</x:v>
      </x:c>
      <x:c r="H88" s="10" t="n">
        <x:f>IF(F88=0,"无销量",D88*30/F88)</x:f>
        <x:v>2886.521739130435</x:v>
      </x:c>
      <x:c r="I88" s="10" t="n">
        <x:f>IF(G88=0,"无销量",D88*90/G88)</x:f>
        <x:v>3494.2105263157896</x:v>
      </x:c>
    </x:row>
    <x:row r="89" ht="27" customHeight="1">
      <x:c r="A89" s="2" t="str">
        <x:v>PROD10080</x:v>
      </x:c>
      <x:c r="B89" s="2" t="str">
        <x:v>Fashion</x:v>
      </x:c>
      <x:c r="C89" s="2" t="str">
        <x:v>Sane, Everyday Women's Western Wear</x:v>
      </x:c>
      <x:c r="D89" s="2" t="n">
        <x:v>650</x:v>
      </x:c>
      <x:c r="E89" s="11" t="n">
        <x:v>46022.5</x:v>
      </x:c>
      <x:c r="F89" s="2" t="n">
        <x:v>21</x:v>
      </x:c>
      <x:c r="G89" s="2" t="n">
        <x:v>60</x:v>
      </x:c>
      <x:c r="H89" s="10" t="n">
        <x:f>IF(F89=0,"无销量",D89*30/F89)</x:f>
        <x:v>928.5714285714286</x:v>
      </x:c>
      <x:c r="I89" s="10" t="n">
        <x:f>IF(G89=0,"无销量",D89*90/G89)</x:f>
        <x:v>975</x:v>
      </x:c>
    </x:row>
    <x:row r="90" ht="27" customHeight="1">
      <x:c r="A90" s="2" t="str">
        <x:v>PROD10081</x:v>
      </x:c>
      <x:c r="B90" s="2" t="str">
        <x:v>Sports</x:v>
      </x:c>
      <x:c r="C90" s="2" t="str">
        <x:v>Bhatti-Kakar Premium Fitness Equipment</x:v>
      </x:c>
      <x:c r="D90" s="2" t="n">
        <x:v>1907</x:v>
      </x:c>
      <x:c r="E90" s="11" t="n">
        <x:v>46022.5</x:v>
      </x:c>
      <x:c r="F90" s="2" t="n">
        <x:v>38</x:v>
      </x:c>
      <x:c r="G90" s="2" t="n">
        <x:v>66</x:v>
      </x:c>
      <x:c r="H90" s="10" t="n">
        <x:f>IF(F90=0,"无销量",D90*30/F90)</x:f>
        <x:v>1505.5263157894738</x:v>
      </x:c>
      <x:c r="I90" s="10" t="n">
        <x:f>IF(G90=0,"无销量",D90*90/G90)</x:f>
        <x:v>2600.4545454545455</x:v>
      </x:c>
    </x:row>
    <x:row r="91" ht="27" customHeight="1">
      <x:c r="A91" s="2" t="str">
        <x:v>PROD10082</x:v>
      </x:c>
      <x:c r="B91" s="2" t="str">
        <x:v>Personal Care</x:v>
      </x:c>
      <x:c r="C91" s="2" t="str">
        <x:v>Baral, Classic Bath &amp; Body</x:v>
      </x:c>
      <x:c r="D91" s="2" t="n">
        <x:v>2470</x:v>
      </x:c>
      <x:c r="E91" s="11" t="n">
        <x:v>46022.5</x:v>
      </x:c>
      <x:c r="F91" s="2" t="n">
        <x:v>1</x:v>
      </x:c>
      <x:c r="G91" s="2" t="n">
        <x:v>7</x:v>
      </x:c>
      <x:c r="H91" s="10" t="n">
        <x:f>IF(F91=0,"无销量",D91*30/F91)</x:f>
        <x:v>74100</x:v>
      </x:c>
      <x:c r="I91" s="10" t="n">
        <x:f>IF(G91=0,"无销量",D91*90/G91)</x:f>
        <x:v>31757.14285714286</x:v>
      </x:c>
    </x:row>
    <x:row r="92" ht="27" customHeight="1">
      <x:c r="A92" s="2" t="str">
        <x:v>PROD10083</x:v>
      </x:c>
      <x:c r="B92" s="2" t="str">
        <x:v>Mobile Accessories</x:v>
      </x:c>
      <x:c r="C92" s="2" t="str">
        <x:v>Dave Essential Cable</x:v>
      </x:c>
      <x:c r="D92" s="2" t="n">
        <x:v>1818</x:v>
      </x:c>
      <x:c r="E92" s="11" t="n">
        <x:v>46022.5</x:v>
      </x:c>
      <x:c r="F92" s="2" t="n">
        <x:v>16</x:v>
      </x:c>
      <x:c r="G92" s="2" t="n">
        <x:v>43</x:v>
      </x:c>
      <x:c r="H92" s="10" t="n">
        <x:f>IF(F92=0,"无销量",D92*30/F92)</x:f>
        <x:v>3408.75</x:v>
      </x:c>
      <x:c r="I92" s="10" t="n">
        <x:f>IF(G92=0,"无销量",D92*90/G92)</x:f>
        <x:v>3805.1162790697676</x:v>
      </x:c>
    </x:row>
    <x:row r="93" ht="27" customHeight="1">
      <x:c r="A93" s="2" t="str">
        <x:v>PROD10084</x:v>
      </x:c>
      <x:c r="B93" s="2" t="str">
        <x:v>Fashion</x:v>
      </x:c>
      <x:c r="C93" s="2" t="str">
        <x:v>Sabharwal-Kothari Pro Kids Wear</x:v>
      </x:c>
      <x:c r="D93" s="2" t="n">
        <x:v>1078</x:v>
      </x:c>
      <x:c r="E93" s="11" t="n">
        <x:v>46022.5</x:v>
      </x:c>
      <x:c r="F93" s="2" t="n">
        <x:v>4</x:v>
      </x:c>
      <x:c r="G93" s="2" t="n">
        <x:v>7</x:v>
      </x:c>
      <x:c r="H93" s="10" t="n">
        <x:f>IF(F93=0,"无销量",D93*30/F93)</x:f>
        <x:v>8085</x:v>
      </x:c>
      <x:c r="I93" s="10" t="n">
        <x:f>IF(G93=0,"无销量",D93*90/G93)</x:f>
        <x:v>13860</x:v>
      </x:c>
    </x:row>
    <x:row r="94" ht="27" customHeight="1">
      <x:c r="A94" s="2" t="str">
        <x:v>PROD10085</x:v>
      </x:c>
      <x:c r="B94" s="2" t="str">
        <x:v>Stationery</x:v>
      </x:c>
      <x:c r="C94" s="2" t="str">
        <x:v>Khatri-Bhardwaj Deluxe Office Stationery</x:v>
      </x:c>
      <x:c r="D94" s="2" t="n">
        <x:v>2550</x:v>
      </x:c>
      <x:c r="E94" s="11" t="n">
        <x:v>46022.5</x:v>
      </x:c>
      <x:c r="F94" s="2" t="n">
        <x:v>131</x:v>
      </x:c>
      <x:c r="G94" s="2" t="n">
        <x:v>325</x:v>
      </x:c>
      <x:c r="H94" s="10" t="n">
        <x:f>IF(F94=0,"无销量",D94*30/F94)</x:f>
        <x:v>583.9694656488549</x:v>
      </x:c>
      <x:c r="I94" s="10" t="n">
        <x:f>IF(G94=0,"无销量",D94*90/G94)</x:f>
        <x:v>706.1538461538462</x:v>
      </x:c>
    </x:row>
    <x:row r="95" ht="27" customHeight="1">
      <x:c r="A95" s="2" t="str">
        <x:v>PROD10086</x:v>
      </x:c>
      <x:c r="B95" s="2" t="str">
        <x:v>Grocery</x:v>
      </x:c>
      <x:c r="C95" s="2" t="str">
        <x:v>Sankar Classic Dairy</x:v>
      </x:c>
      <x:c r="D95" s="2" t="n">
        <x:v>1557</x:v>
      </x:c>
      <x:c r="E95" s="11" t="n">
        <x:v>46022.5</x:v>
      </x:c>
      <x:c r="F95" s="2" t="n">
        <x:v>50</x:v>
      </x:c>
      <x:c r="G95" s="2" t="n">
        <x:v>115</x:v>
      </x:c>
      <x:c r="H95" s="10" t="n">
        <x:f>IF(F95=0,"无销量",D95*30/F95)</x:f>
        <x:v>934.2</x:v>
      </x:c>
      <x:c r="I95" s="10" t="n">
        <x:f>IF(G95=0,"无销量",D95*90/G95)</x:f>
        <x:v>1218.5217391304348</x:v>
      </x:c>
    </x:row>
    <x:row r="96" ht="27" customHeight="1">
      <x:c r="A96" s="2" t="str">
        <x:v>PROD10087</x:v>
      </x:c>
      <x:c r="B96" s="2" t="str">
        <x:v>Home &amp; Kitchen</x:v>
      </x:c>
      <x:c r="C96" s="2" t="str">
        <x:v>Varma-Nayak Classic Home Decor</x:v>
      </x:c>
      <x:c r="D96" s="2" t="n">
        <x:v>709</x:v>
      </x:c>
      <x:c r="E96" s="11" t="n">
        <x:v>46022.5</x:v>
      </x:c>
      <x:c r="F96" s="2" t="n">
        <x:v>28</x:v>
      </x:c>
      <x:c r="G96" s="2" t="n">
        <x:v>83</x:v>
      </x:c>
      <x:c r="H96" s="10" t="n">
        <x:f>IF(F96=0,"无销量",D96*30/F96)</x:f>
        <x:v>759.6428571428571</x:v>
      </x:c>
      <x:c r="I96" s="10" t="n">
        <x:f>IF(G96=0,"无销量",D96*90/G96)</x:f>
        <x:v>768.7951807228916</x:v>
      </x:c>
    </x:row>
    <x:row r="97" ht="27" customHeight="1">
      <x:c r="A97" s="2" t="str">
        <x:v>PROD10088</x:v>
      </x:c>
      <x:c r="B97" s="2" t="str">
        <x:v>Grocery</x:v>
      </x:c>
      <x:c r="C97" s="2" t="str">
        <x:v>Kala-Vaidya Premium Staple</x:v>
      </x:c>
      <x:c r="D97" s="2" t="n">
        <x:v>820</x:v>
      </x:c>
      <x:c r="E97" s="11" t="n">
        <x:v>46022.5</x:v>
      </x:c>
      <x:c r="F97" s="2" t="n">
        <x:v>42</x:v>
      </x:c>
      <x:c r="G97" s="2" t="n">
        <x:v>74</x:v>
      </x:c>
      <x:c r="H97" s="10" t="n">
        <x:f>IF(F97=0,"无销量",D97*30/F97)</x:f>
        <x:v>585.7142857142857</x:v>
      </x:c>
      <x:c r="I97" s="10" t="n">
        <x:f>IF(G97=0,"无销量",D97*90/G97)</x:f>
        <x:v>997.2972972972973</x:v>
      </x:c>
    </x:row>
    <x:row r="98" ht="27" customHeight="1">
      <x:c r="A98" s="2" t="str">
        <x:v>PROD10089</x:v>
      </x:c>
      <x:c r="B98" s="2" t="str">
        <x:v>Personal Care</x:v>
      </x:c>
      <x:c r="C98" s="2" t="str">
        <x:v>Khanna, Pro Oral Care</x:v>
      </x:c>
      <x:c r="D98" s="2" t="n">
        <x:v>989</x:v>
      </x:c>
      <x:c r="E98" s="11" t="n">
        <x:v>46022.5</x:v>
      </x:c>
      <x:c r="F98" s="2" t="n">
        <x:v>63</x:v>
      </x:c>
      <x:c r="G98" s="2" t="n">
        <x:v>142</x:v>
      </x:c>
      <x:c r="H98" s="10" t="n">
        <x:f>IF(F98=0,"无销量",D98*30/F98)</x:f>
        <x:v>470.95238095238096</x:v>
      </x:c>
      <x:c r="I98" s="10" t="n">
        <x:f>IF(G98=0,"无销量",D98*90/G98)</x:f>
        <x:v>626.830985915493</x:v>
      </x:c>
    </x:row>
    <x:row r="99" ht="27" customHeight="1">
      <x:c r="A99" s="2" t="str">
        <x:v>PROD10090</x:v>
      </x:c>
      <x:c r="B99" s="2" t="str">
        <x:v>Stationery</x:v>
      </x:c>
      <x:c r="C99" s="2" t="str">
        <x:v>Lanka, Everyday Office Stationery</x:v>
      </x:c>
      <x:c r="D99" s="2" t="n">
        <x:v>2100</x:v>
      </x:c>
      <x:c r="E99" s="11" t="n">
        <x:v>46022.5</x:v>
      </x:c>
      <x:c r="F99" s="2" t="n">
        <x:v>8</x:v>
      </x:c>
      <x:c r="G99" s="2" t="n">
        <x:v>15</x:v>
      </x:c>
      <x:c r="H99" s="10" t="n">
        <x:f>IF(F99=0,"无销量",D99*30/F99)</x:f>
        <x:v>7875</x:v>
      </x:c>
      <x:c r="I99" s="10" t="n">
        <x:f>IF(G99=0,"无销量",D99*90/G99)</x:f>
        <x:v>12600</x:v>
      </x:c>
    </x:row>
    <x:row r="100" ht="27" customHeight="1">
      <x:c r="A100" s="2" t="str">
        <x:v>PROD10091</x:v>
      </x:c>
      <x:c r="B100" s="2" t="str">
        <x:v>Fashion</x:v>
      </x:c>
      <x:c r="C100" s="2" t="str">
        <x:v>Behl-Chanda Premium Women's Ethnic Wear</x:v>
      </x:c>
      <x:c r="D100" s="2" t="n">
        <x:v>2293</x:v>
      </x:c>
      <x:c r="E100" s="11" t="n">
        <x:v>46022.5</x:v>
      </x:c>
      <x:c r="F100" s="2" t="n">
        <x:v>21</x:v>
      </x:c>
      <x:c r="G100" s="2" t="n">
        <x:v>31</x:v>
      </x:c>
      <x:c r="H100" s="10" t="n">
        <x:f>IF(F100=0,"无销量",D100*30/F100)</x:f>
        <x:v>3275.714285714286</x:v>
      </x:c>
      <x:c r="I100" s="10" t="n">
        <x:f>IF(G100=0,"无销量",D100*90/G100)</x:f>
        <x:v>6657.096774193548</x:v>
      </x:c>
    </x:row>
    <x:row r="101" ht="27" customHeight="1">
      <x:c r="A101" s="2" t="str">
        <x:v>PROD10092</x:v>
      </x:c>
      <x:c r="B101" s="2" t="str">
        <x:v>Grocery</x:v>
      </x:c>
      <x:c r="C101" s="2" t="str">
        <x:v>Mittal, Premium Snack</x:v>
      </x:c>
      <x:c r="D101" s="2" t="n">
        <x:v>2994</x:v>
      </x:c>
      <x:c r="E101" s="11" t="n">
        <x:v>46022.5</x:v>
      </x:c>
      <x:c r="F101" s="2" t="n">
        <x:v>190</x:v>
      </x:c>
      <x:c r="G101" s="2" t="n">
        <x:v>498</x:v>
      </x:c>
      <x:c r="H101" s="10" t="n">
        <x:f>IF(F101=0,"无销量",D101*30/F101)</x:f>
        <x:v>472.7368421052632</x:v>
      </x:c>
      <x:c r="I101" s="10" t="n">
        <x:f>IF(G101=0,"无销量",D101*90/G101)</x:f>
        <x:v>541.0843373493976</x:v>
      </x:c>
    </x:row>
    <x:row r="102" ht="27" customHeight="1">
      <x:c r="A102" s="2" t="str">
        <x:v>PROD10093</x:v>
      </x:c>
      <x:c r="B102" s="2" t="str">
        <x:v>Stationery</x:v>
      </x:c>
      <x:c r="C102" s="2" t="str">
        <x:v>Handa Everyday Office Stationery</x:v>
      </x:c>
      <x:c r="D102" s="2" t="n">
        <x:v>597</x:v>
      </x:c>
      <x:c r="E102" s="11" t="n">
        <x:v>46022.5</x:v>
      </x:c>
      <x:c r="F102" s="2" t="n">
        <x:v>6</x:v>
      </x:c>
      <x:c r="G102" s="2" t="n">
        <x:v>33</x:v>
      </x:c>
      <x:c r="H102" s="10" t="n">
        <x:f>IF(F102=0,"无销量",D102*30/F102)</x:f>
        <x:v>2985</x:v>
      </x:c>
      <x:c r="I102" s="10" t="n">
        <x:f>IF(G102=0,"无销量",D102*90/G102)</x:f>
        <x:v>1628.1818181818182</x:v>
      </x:c>
    </x:row>
    <x:row r="103" ht="27" customHeight="1">
      <x:c r="A103" s="2" t="str">
        <x:v>PROD10094</x:v>
      </x:c>
      <x:c r="B103" s="2" t="str">
        <x:v>Stationery</x:v>
      </x:c>
      <x:c r="C103" s="2" t="str">
        <x:v>Morar Basic Art Supplie</x:v>
      </x:c>
      <x:c r="D103" s="2" t="n">
        <x:v>857</x:v>
      </x:c>
      <x:c r="E103" s="11" t="n">
        <x:v>46022.5</x:v>
      </x:c>
      <x:c r="F103" s="2" t="n">
        <x:v>40</x:v>
      </x:c>
      <x:c r="G103" s="2" t="n">
        <x:v>95</x:v>
      </x:c>
      <x:c r="H103" s="10" t="n">
        <x:f>IF(F103=0,"无销量",D103*30/F103)</x:f>
        <x:v>642.75</x:v>
      </x:c>
      <x:c r="I103" s="10" t="n">
        <x:f>IF(G103=0,"无销量",D103*90/G103)</x:f>
        <x:v>811.8947368421053</x:v>
      </x:c>
    </x:row>
    <x:row r="104" ht="27" customHeight="1">
      <x:c r="A104" s="2" t="str">
        <x:v>PROD10095</x:v>
      </x:c>
      <x:c r="B104" s="2" t="str">
        <x:v>Grocery</x:v>
      </x:c>
      <x:c r="C104" s="2" t="str">
        <x:v>Lanka, Pro Packaged Food</x:v>
      </x:c>
      <x:c r="D104" s="2" t="n">
        <x:v>1644</x:v>
      </x:c>
      <x:c r="E104" s="11" t="n">
        <x:v>46022.5</x:v>
      </x:c>
      <x:c r="F104" s="2" t="n">
        <x:v>52</x:v>
      </x:c>
      <x:c r="G104" s="2" t="n">
        <x:v>111</x:v>
      </x:c>
      <x:c r="H104" s="10" t="n">
        <x:f>IF(F104=0,"无销量",D104*30/F104)</x:f>
        <x:v>948.4615384615385</x:v>
      </x:c>
      <x:c r="I104" s="10" t="n">
        <x:f>IF(G104=0,"无销量",D104*90/G104)</x:f>
        <x:v>1332.972972972973</x:v>
      </x:c>
    </x:row>
    <x:row r="105" ht="27" customHeight="1">
      <x:c r="A105" s="2" t="str">
        <x:v>PROD10096</x:v>
      </x:c>
      <x:c r="B105" s="2" t="str">
        <x:v>Beauty</x:v>
      </x:c>
      <x:c r="C105" s="2" t="str">
        <x:v>Gala Essential Makeup</x:v>
      </x:c>
      <x:c r="D105" s="2" t="n">
        <x:v>1666</x:v>
      </x:c>
      <x:c r="E105" s="11" t="n">
        <x:v>46022.5</x:v>
      </x:c>
      <x:c r="F105" s="2" t="n">
        <x:v>1</x:v>
      </x:c>
      <x:c r="G105" s="2" t="n">
        <x:v>12</x:v>
      </x:c>
      <x:c r="H105" s="10" t="n">
        <x:f>IF(F105=0,"无销量",D105*30/F105)</x:f>
        <x:v>49980</x:v>
      </x:c>
      <x:c r="I105" s="10" t="n">
        <x:f>IF(G105=0,"无销量",D105*90/G105)</x:f>
        <x:v>12495</x:v>
      </x:c>
    </x:row>
    <x:row r="106" ht="27" customHeight="1">
      <x:c r="A106" s="2" t="str">
        <x:v>PROD10097</x:v>
      </x:c>
      <x:c r="B106" s="2" t="str">
        <x:v>Watches</x:v>
      </x:c>
      <x:c r="C106" s="2" t="str">
        <x:v>Ahluwalia, Basic Analog Watche</x:v>
      </x:c>
      <x:c r="D106" s="2" t="n">
        <x:v>2924</x:v>
      </x:c>
      <x:c r="E106" s="11" t="n">
        <x:v>46022.5</x:v>
      </x:c>
      <x:c r="F106" s="2" t="n">
        <x:v>18</x:v>
      </x:c>
      <x:c r="G106" s="2" t="n">
        <x:v>31</x:v>
      </x:c>
      <x:c r="H106" s="10" t="n">
        <x:f>IF(F106=0,"无销量",D106*30/F106)</x:f>
        <x:v>4873.333333333333</x:v>
      </x:c>
      <x:c r="I106" s="10" t="n">
        <x:f>IF(G106=0,"无销量",D106*90/G106)</x:f>
        <x:v>8489.032258064517</x:v>
      </x:c>
    </x:row>
    <x:row r="107" ht="27" customHeight="1">
      <x:c r="A107" s="2" t="str">
        <x:v>PROD10098</x:v>
      </x:c>
      <x:c r="B107" s="2" t="str">
        <x:v>Personal Care</x:v>
      </x:c>
      <x:c r="C107" s="2" t="str">
        <x:v>Boase, Basic Grooming</x:v>
      </x:c>
      <x:c r="D107" s="2" t="n">
        <x:v>1344</x:v>
      </x:c>
      <x:c r="E107" s="11" t="n">
        <x:v>46022.5</x:v>
      </x:c>
      <x:c r="F107" s="2" t="n">
        <x:v>95</x:v>
      </x:c>
      <x:c r="G107" s="2" t="n">
        <x:v>247</x:v>
      </x:c>
      <x:c r="H107" s="10" t="n">
        <x:f>IF(F107=0,"无销量",D107*30/F107)</x:f>
        <x:v>424.42105263157896</x:v>
      </x:c>
      <x:c r="I107" s="10" t="n">
        <x:f>IF(G107=0,"无销量",D107*90/G107)</x:f>
        <x:v>489.7165991902834</x:v>
      </x:c>
    </x:row>
    <x:row r="108" ht="27" customHeight="1">
      <x:c r="A108" s="2" t="str">
        <x:v>PROD10099</x:v>
      </x:c>
      <x:c r="B108" s="2" t="str">
        <x:v>Office Supplies</x:v>
      </x:c>
      <x:c r="C108" s="2" t="str">
        <x:v>Memon, Premium Office Equipment</x:v>
      </x:c>
      <x:c r="D108" s="2" t="n">
        <x:v>2625</x:v>
      </x:c>
      <x:c r="E108" s="11" t="n">
        <x:v>46022.5</x:v>
      </x:c>
      <x:c r="F108" s="2" t="n">
        <x:v>53</x:v>
      </x:c>
      <x:c r="G108" s="2" t="n">
        <x:v>174</x:v>
      </x:c>
      <x:c r="H108" s="10" t="n">
        <x:f>IF(F108=0,"无销量",D108*30/F108)</x:f>
        <x:v>1485.8490566037735</x:v>
      </x:c>
      <x:c r="I108" s="10" t="n">
        <x:f>IF(G108=0,"无销量",D108*90/G108)</x:f>
        <x:v>1357.7586206896551</x:v>
      </x:c>
    </x:row>
    <x:row r="109" ht="27" customHeight="1">
      <x:c r="A109" s="2" t="str">
        <x:v>PROD10100</x:v>
      </x:c>
      <x:c r="B109" s="2" t="str">
        <x:v>Appliances</x:v>
      </x:c>
      <x:c r="C109" s="2" t="str">
        <x:v>Sarin Compact Fans &amp; Cooler</x:v>
      </x:c>
      <x:c r="D109" s="2" t="n">
        <x:v>2154</x:v>
      </x:c>
      <x:c r="E109" s="11" t="n">
        <x:v>46022.5</x:v>
      </x:c>
      <x:c r="F109" s="2" t="n">
        <x:v>56</x:v>
      </x:c>
      <x:c r="G109" s="2" t="n">
        <x:v>143</x:v>
      </x:c>
      <x:c r="H109" s="10" t="n">
        <x:f>IF(F109=0,"无销量",D109*30/F109)</x:f>
        <x:v>1153.9285714285713</x:v>
      </x:c>
      <x:c r="I109" s="10" t="n">
        <x:f>IF(G109=0,"无销量",D109*90/G109)</x:f>
        <x:v>1355.6643356643356</x:v>
      </x:c>
    </x:row>
    <x:row r="110" ht="27" customHeight="1">
      <x:c r="A110" s="2" t="str">
        <x:v>PROD10101</x:v>
      </x:c>
      <x:c r="B110" s="2" t="str">
        <x:v>Toys</x:v>
      </x:c>
      <x:c r="C110" s="2" t="str">
        <x:v>Memon, Compact Action Figure</x:v>
      </x:c>
      <x:c r="D110" s="2" t="n">
        <x:v>648</x:v>
      </x:c>
      <x:c r="E110" s="11" t="n">
        <x:v>46022.5</x:v>
      </x:c>
      <x:c r="F110" s="2" t="n">
        <x:v>756</x:v>
      </x:c>
      <x:c r="G110" s="2" t="n">
        <x:v>1907</x:v>
      </x:c>
      <x:c r="H110" s="10" t="n">
        <x:f>IF(F110=0,"无销量",D110*30/F110)</x:f>
        <x:v>25.714285714285715</x:v>
      </x:c>
      <x:c r="I110" s="10" t="n">
        <x:f>IF(G110=0,"无销量",D110*90/G110)</x:f>
        <x:v>30.58206607236497</x:v>
      </x:c>
    </x:row>
    <x:row r="111" ht="27" customHeight="1">
      <x:c r="A111" s="2" t="str">
        <x:v>PROD10102</x:v>
      </x:c>
      <x:c r="B111" s="2" t="str">
        <x:v>Electronics</x:v>
      </x:c>
      <x:c r="C111" s="2" t="str">
        <x:v>Brar Classic Smartphone</x:v>
      </x:c>
      <x:c r="D111" s="2" t="n">
        <x:v>2250</x:v>
      </x:c>
      <x:c r="E111" s="11" t="n">
        <x:v>46022.5</x:v>
      </x:c>
      <x:c r="F111" s="2" t="n">
        <x:v>19</x:v>
      </x:c>
      <x:c r="G111" s="2" t="n">
        <x:v>63</x:v>
      </x:c>
      <x:c r="H111" s="10" t="n">
        <x:f>IF(F111=0,"无销量",D111*30/F111)</x:f>
        <x:v>3552.6315789473683</x:v>
      </x:c>
      <x:c r="I111" s="10" t="n">
        <x:f>IF(G111=0,"无销量",D111*90/G111)</x:f>
        <x:v>3214.285714285714</x:v>
      </x:c>
    </x:row>
    <x:row r="112" ht="27" customHeight="1">
      <x:c r="A112" s="2" t="str">
        <x:v>PROD10103</x:v>
      </x:c>
      <x:c r="B112" s="2" t="str">
        <x:v>Automotive Accessories</x:v>
      </x:c>
      <x:c r="C112" s="2" t="str">
        <x:v>Rai Advanced Car Care</x:v>
      </x:c>
      <x:c r="D112" s="2" t="n">
        <x:v>489</x:v>
      </x:c>
      <x:c r="E112" s="11" t="n">
        <x:v>46022.5</x:v>
      </x:c>
      <x:c r="F112" s="2" t="n">
        <x:v>0</x:v>
      </x:c>
      <x:c r="G112" s="2" t="n">
        <x:v>15</x:v>
      </x:c>
      <x:c r="H112" s="10" t="str">
        <x:f>IF(F112=0,"无销量",D112*30/F112)</x:f>
        <x:v>无销量</x:v>
      </x:c>
      <x:c r="I112" s="10" t="n">
        <x:f>IF(G112=0,"无销量",D112*90/G112)</x:f>
        <x:v>2934</x:v>
      </x:c>
    </x:row>
    <x:row r="113" ht="27" customHeight="1">
      <x:c r="A113" s="2" t="str">
        <x:v>PROD10104</x:v>
      </x:c>
      <x:c r="B113" s="2" t="str">
        <x:v>Footwear</x:v>
      </x:c>
      <x:c r="C113" s="2" t="str">
        <x:v>Nath Classic Women's Casual</x:v>
      </x:c>
      <x:c r="D113" s="2" t="n">
        <x:v>2987</x:v>
      </x:c>
      <x:c r="E113" s="11" t="n">
        <x:v>46022.5</x:v>
      </x:c>
      <x:c r="F113" s="2" t="n">
        <x:v>61</x:v>
      </x:c>
      <x:c r="G113" s="2" t="n">
        <x:v>111</x:v>
      </x:c>
      <x:c r="H113" s="10" t="n">
        <x:f>IF(F113=0,"无销量",D113*30/F113)</x:f>
        <x:v>1469.016393442623</x:v>
      </x:c>
      <x:c r="I113" s="10" t="n">
        <x:f>IF(G113=0,"无销量",D113*90/G113)</x:f>
        <x:v>2421.891891891892</x:v>
      </x:c>
    </x:row>
    <x:row r="114" ht="27" customHeight="1">
      <x:c r="A114" s="2" t="str">
        <x:v>PROD10105</x:v>
      </x:c>
      <x:c r="B114" s="2" t="str">
        <x:v>Toys</x:v>
      </x:c>
      <x:c r="C114" s="2" t="str">
        <x:v>Ahluwalia, Signature Action Figure</x:v>
      </x:c>
      <x:c r="D114" s="2" t="n">
        <x:v>2698</x:v>
      </x:c>
      <x:c r="E114" s="11" t="n">
        <x:v>46022.5</x:v>
      </x:c>
      <x:c r="F114" s="2" t="n">
        <x:v>8</x:v>
      </x:c>
      <x:c r="G114" s="2" t="n">
        <x:v>33</x:v>
      </x:c>
      <x:c r="H114" s="10" t="n">
        <x:f>IF(F114=0,"无销量",D114*30/F114)</x:f>
        <x:v>10117.5</x:v>
      </x:c>
      <x:c r="I114" s="10" t="n">
        <x:f>IF(G114=0,"无销量",D114*90/G114)</x:f>
        <x:v>7358.181818181818</x:v>
      </x:c>
    </x:row>
    <x:row r="115" ht="27" customHeight="1">
      <x:c r="A115" s="2" t="str">
        <x:v>PROD10106</x:v>
      </x:c>
      <x:c r="B115" s="2" t="str">
        <x:v>Grocery</x:v>
      </x:c>
      <x:c r="C115" s="2" t="str">
        <x:v>Loke, Ultra Staple</x:v>
      </x:c>
      <x:c r="D115" s="2" t="n">
        <x:v>756</x:v>
      </x:c>
      <x:c r="E115" s="11" t="n">
        <x:v>46022.5</x:v>
      </x:c>
      <x:c r="F115" s="2" t="n">
        <x:v>32</x:v>
      </x:c>
      <x:c r="G115" s="2" t="n">
        <x:v>115</x:v>
      </x:c>
      <x:c r="H115" s="10" t="n">
        <x:f>IF(F115=0,"无销量",D115*30/F115)</x:f>
        <x:v>708.75</x:v>
      </x:c>
      <x:c r="I115" s="10" t="n">
        <x:f>IF(G115=0,"无销量",D115*90/G115)</x:f>
        <x:v>591.6521739130435</x:v>
      </x:c>
    </x:row>
    <x:row r="116" ht="27" customHeight="1">
      <x:c r="A116" s="2" t="str">
        <x:v>PROD10107</x:v>
      </x:c>
      <x:c r="B116" s="2" t="str">
        <x:v>Bags</x:v>
      </x:c>
      <x:c r="C116" s="2" t="str">
        <x:v>Nori-Chopra Essential Travel Bag</x:v>
      </x:c>
      <x:c r="D116" s="2" t="n">
        <x:v>1112</x:v>
      </x:c>
      <x:c r="E116" s="11" t="n">
        <x:v>46022.5</x:v>
      </x:c>
      <x:c r="F116" s="2" t="n">
        <x:v>15</x:v>
      </x:c>
      <x:c r="G116" s="2" t="n">
        <x:v>51</x:v>
      </x:c>
      <x:c r="H116" s="10" t="n">
        <x:f>IF(F116=0,"无销量",D116*30/F116)</x:f>
        <x:v>2224</x:v>
      </x:c>
      <x:c r="I116" s="10" t="n">
        <x:f>IF(G116=0,"无销量",D116*90/G116)</x:f>
        <x:v>1962.3529411764705</x:v>
      </x:c>
    </x:row>
    <x:row r="117" ht="27" customHeight="1">
      <x:c r="A117" s="2" t="str">
        <x:v>PROD10108</x:v>
      </x:c>
      <x:c r="B117" s="2" t="str">
        <x:v>Furniture</x:v>
      </x:c>
      <x:c r="C117" s="2" t="str">
        <x:v>Solanki, Deluxe Office Furniture</x:v>
      </x:c>
      <x:c r="D117" s="2" t="n">
        <x:v>1042</x:v>
      </x:c>
      <x:c r="E117" s="11" t="n">
        <x:v>46022.5</x:v>
      </x:c>
      <x:c r="F117" s="2" t="n">
        <x:v>38</x:v>
      </x:c>
      <x:c r="G117" s="2" t="n">
        <x:v>76</x:v>
      </x:c>
      <x:c r="H117" s="10" t="n">
        <x:f>IF(F117=0,"无销量",D117*30/F117)</x:f>
        <x:v>822.6315789473684</x:v>
      </x:c>
      <x:c r="I117" s="10" t="n">
        <x:f>IF(G117=0,"无销量",D117*90/G117)</x:f>
        <x:v>1233.9473684210527</x:v>
      </x:c>
    </x:row>
    <x:row r="118" ht="27" customHeight="1">
      <x:c r="A118" s="2" t="str">
        <x:v>PROD10109</x:v>
      </x:c>
      <x:c r="B118" s="2" t="str">
        <x:v>Toys</x:v>
      </x:c>
      <x:c r="C118" s="2" t="str">
        <x:v>Dutta Advanced Soft Toy</x:v>
      </x:c>
      <x:c r="D118" s="2" t="n">
        <x:v>2254</x:v>
      </x:c>
      <x:c r="E118" s="11" t="n">
        <x:v>46022.5</x:v>
      </x:c>
      <x:c r="F118" s="2" t="n">
        <x:v>7</x:v>
      </x:c>
      <x:c r="G118" s="2" t="n">
        <x:v>27</x:v>
      </x:c>
      <x:c r="H118" s="10" t="n">
        <x:f>IF(F118=0,"无销量",D118*30/F118)</x:f>
        <x:v>9660</x:v>
      </x:c>
      <x:c r="I118" s="10" t="n">
        <x:f>IF(G118=0,"无销量",D118*90/G118)</x:f>
        <x:v>7513.333333333333</x:v>
      </x:c>
    </x:row>
    <x:row r="119" ht="27" customHeight="1">
      <x:c r="A119" s="2" t="str">
        <x:v>PROD10110</x:v>
      </x:c>
      <x:c r="B119" s="2" t="str">
        <x:v>Mobile Accessories</x:v>
      </x:c>
      <x:c r="C119" s="2" t="str">
        <x:v>Iyengar Smart Phone Case</x:v>
      </x:c>
      <x:c r="D119" s="2" t="n">
        <x:v>532</x:v>
      </x:c>
      <x:c r="E119" s="11" t="n">
        <x:v>46022.5</x:v>
      </x:c>
      <x:c r="F119" s="2" t="n">
        <x:v>27</x:v>
      </x:c>
      <x:c r="G119" s="2" t="n">
        <x:v>54</x:v>
      </x:c>
      <x:c r="H119" s="10" t="n">
        <x:f>IF(F119=0,"无销量",D119*30/F119)</x:f>
        <x:v>591.1111111111111</x:v>
      </x:c>
      <x:c r="I119" s="10" t="n">
        <x:f>IF(G119=0,"无销量",D119*90/G119)</x:f>
        <x:v>886.6666666666666</x:v>
      </x:c>
    </x:row>
    <x:row r="120" ht="27" customHeight="1">
      <x:c r="A120" s="2" t="str">
        <x:v>PROD10111</x:v>
      </x:c>
      <x:c r="B120" s="2" t="str">
        <x:v>Grocery</x:v>
      </x:c>
      <x:c r="C120" s="2" t="str">
        <x:v>Chaudry, Everyday Staple</x:v>
      </x:c>
      <x:c r="D120" s="2" t="n">
        <x:v>1925</x:v>
      </x:c>
      <x:c r="E120" s="11" t="n">
        <x:v>46022.5</x:v>
      </x:c>
      <x:c r="F120" s="2" t="n">
        <x:v>72</x:v>
      </x:c>
      <x:c r="G120" s="2" t="n">
        <x:v>200</x:v>
      </x:c>
      <x:c r="H120" s="10" t="n">
        <x:f>IF(F120=0,"无销量",D120*30/F120)</x:f>
        <x:v>802.0833333333334</x:v>
      </x:c>
      <x:c r="I120" s="10" t="n">
        <x:f>IF(G120=0,"无销量",D120*90/G120)</x:f>
        <x:v>866.25</x:v>
      </x:c>
    </x:row>
    <x:row r="121" ht="27" customHeight="1">
      <x:c r="A121" s="2" t="str">
        <x:v>PROD10112</x:v>
      </x:c>
      <x:c r="B121" s="2" t="str">
        <x:v>Books</x:v>
      </x:c>
      <x:c r="C121" s="2" t="str">
        <x:v>Soman Classic Comic</x:v>
      </x:c>
      <x:c r="D121" s="2" t="n">
        <x:v>959</x:v>
      </x:c>
      <x:c r="E121" s="11" t="n">
        <x:v>46022.5</x:v>
      </x:c>
      <x:c r="F121" s="2" t="n">
        <x:v>821</x:v>
      </x:c>
      <x:c r="G121" s="2" t="n">
        <x:v>2071</x:v>
      </x:c>
      <x:c r="H121" s="10" t="n">
        <x:f>IF(F121=0,"无销量",D121*30/F121)</x:f>
        <x:v>35.04263093788063</x:v>
      </x:c>
      <x:c r="I121" s="10" t="n">
        <x:f>IF(G121=0,"无销量",D121*90/G121)</x:f>
        <x:v>41.675519072911634</x:v>
      </x:c>
    </x:row>
    <x:row r="122" ht="27" customHeight="1">
      <x:c r="A122" s="2" t="str">
        <x:v>PROD10113</x:v>
      </x:c>
      <x:c r="B122" s="2" t="str">
        <x:v>Electronics</x:v>
      </x:c>
      <x:c r="C122" s="2" t="str">
        <x:v>Nagy, Essential Smartphone</x:v>
      </x:c>
      <x:c r="D122" s="2" t="n">
        <x:v>1810</x:v>
      </x:c>
      <x:c r="E122" s="11" t="n">
        <x:v>46022.5</x:v>
      </x:c>
      <x:c r="F122" s="2" t="n">
        <x:v>1</x:v>
      </x:c>
      <x:c r="G122" s="2" t="n">
        <x:v>31</x:v>
      </x:c>
      <x:c r="H122" s="10" t="n">
        <x:f>IF(F122=0,"无销量",D122*30/F122)</x:f>
        <x:v>54300</x:v>
      </x:c>
      <x:c r="I122" s="10" t="n">
        <x:f>IF(G122=0,"无销量",D122*90/G122)</x:f>
        <x:v>5254.8387096774195</x:v>
      </x:c>
    </x:row>
    <x:row r="123" ht="27" customHeight="1">
      <x:c r="A123" s="2" t="str">
        <x:v>PROD10114</x:v>
      </x:c>
      <x:c r="B123" s="2" t="str">
        <x:v>Office Supplies</x:v>
      </x:c>
      <x:c r="C123" s="2" t="str">
        <x:v>Handa Pro Filing &amp; Storage</x:v>
      </x:c>
      <x:c r="D123" s="2" t="n">
        <x:v>1497</x:v>
      </x:c>
      <x:c r="E123" s="11" t="n">
        <x:v>46022.5</x:v>
      </x:c>
      <x:c r="F123" s="2" t="n">
        <x:v>7</x:v>
      </x:c>
      <x:c r="G123" s="2" t="n">
        <x:v>24</x:v>
      </x:c>
      <x:c r="H123" s="10" t="n">
        <x:f>IF(F123=0,"无销量",D123*30/F123)</x:f>
        <x:v>6415.714285714285</x:v>
      </x:c>
      <x:c r="I123" s="10" t="n">
        <x:f>IF(G123=0,"无销量",D123*90/G123)</x:f>
        <x:v>5613.75</x:v>
      </x:c>
    </x:row>
    <x:row r="124" ht="27" customHeight="1">
      <x:c r="A124" s="2" t="str">
        <x:v>PROD10115</x:v>
      </x:c>
      <x:c r="B124" s="2" t="str">
        <x:v>Bags</x:v>
      </x:c>
      <x:c r="C124" s="2" t="str">
        <x:v>Rai Essential Travel Bag</x:v>
      </x:c>
      <x:c r="D124" s="2" t="n">
        <x:v>1597</x:v>
      </x:c>
      <x:c r="E124" s="11" t="n">
        <x:v>46022.5</x:v>
      </x:c>
      <x:c r="F124" s="2" t="n">
        <x:v>59</x:v>
      </x:c>
      <x:c r="G124" s="2" t="n">
        <x:v>117</x:v>
      </x:c>
      <x:c r="H124" s="10" t="n">
        <x:f>IF(F124=0,"无销量",D124*30/F124)</x:f>
        <x:v>812.0338983050848</x:v>
      </x:c>
      <x:c r="I124" s="10" t="n">
        <x:f>IF(G124=0,"无销量",D124*90/G124)</x:f>
        <x:v>1228.4615384615386</x:v>
      </x:c>
    </x:row>
    <x:row r="125" ht="27" customHeight="1">
      <x:c r="A125" s="2" t="str">
        <x:v>PROD10116</x:v>
      </x:c>
      <x:c r="B125" s="2" t="str">
        <x:v>Electronics</x:v>
      </x:c>
      <x:c r="C125" s="2" t="str">
        <x:v>Chander Pro Headphone</x:v>
      </x:c>
      <x:c r="D125" s="2" t="n">
        <x:v>368</x:v>
      </x:c>
      <x:c r="E125" s="11" t="n">
        <x:v>46022.5</x:v>
      </x:c>
      <x:c r="F125" s="2" t="n">
        <x:v>32</x:v>
      </x:c>
      <x:c r="G125" s="2" t="n">
        <x:v>70</x:v>
      </x:c>
      <x:c r="H125" s="10" t="n">
        <x:f>IF(F125=0,"无销量",D125*30/F125)</x:f>
        <x:v>345</x:v>
      </x:c>
      <x:c r="I125" s="10" t="n">
        <x:f>IF(G125=0,"无销量",D125*90/G125)</x:f>
        <x:v>473.14285714285717</x:v>
      </x:c>
    </x:row>
    <x:row r="126" ht="27" customHeight="1">
      <x:c r="A126" s="2" t="str">
        <x:v>PROD10117</x:v>
      </x:c>
      <x:c r="B126" s="2" t="str">
        <x:v>Home &amp; Kitchen</x:v>
      </x:c>
      <x:c r="C126" s="2" t="str">
        <x:v>Gara-Chad Basic Home Decor</x:v>
      </x:c>
      <x:c r="D126" s="2" t="n">
        <x:v>1679</x:v>
      </x:c>
      <x:c r="E126" s="11" t="n">
        <x:v>46022.5</x:v>
      </x:c>
      <x:c r="F126" s="2" t="n">
        <x:v>84</x:v>
      </x:c>
      <x:c r="G126" s="2" t="n">
        <x:v>257</x:v>
      </x:c>
      <x:c r="H126" s="10" t="n">
        <x:f>IF(F126=0,"无销量",D126*30/F126)</x:f>
        <x:v>599.6428571428571</x:v>
      </x:c>
      <x:c r="I126" s="10" t="n">
        <x:f>IF(G126=0,"无销量",D126*90/G126)</x:f>
        <x:v>587.976653696498</x:v>
      </x:c>
    </x:row>
    <x:row r="127" ht="27" customHeight="1">
      <x:c r="A127" s="2" t="str">
        <x:v>PROD10118</x:v>
      </x:c>
      <x:c r="B127" s="2" t="str">
        <x:v>Health &amp; Wellness</x:v>
      </x:c>
      <x:c r="C127" s="2" t="str">
        <x:v>Acharya-Modi Premium Ayurveda</x:v>
      </x:c>
      <x:c r="D127" s="2" t="n">
        <x:v>980</x:v>
      </x:c>
      <x:c r="E127" s="11" t="n">
        <x:v>46022.5</x:v>
      </x:c>
      <x:c r="F127" s="2" t="n">
        <x:v>487</x:v>
      </x:c>
      <x:c r="G127" s="2" t="n">
        <x:v>1129</x:v>
      </x:c>
      <x:c r="H127" s="10" t="n">
        <x:f>IF(F127=0,"无销量",D127*30/F127)</x:f>
        <x:v>60.369609856262834</x:v>
      </x:c>
      <x:c r="I127" s="10" t="n">
        <x:f>IF(G127=0,"无销量",D127*90/G127)</x:f>
        <x:v>78.12223206377325</x:v>
      </x:c>
    </x:row>
    <x:row r="128" ht="27" customHeight="1">
      <x:c r="A128" s="2" t="str">
        <x:v>PROD10119</x:v>
      </x:c>
      <x:c r="B128" s="2" t="str">
        <x:v>Footwear</x:v>
      </x:c>
      <x:c r="C128" s="2" t="str">
        <x:v>Ramakrishnan Advanced Formal Shoe</x:v>
      </x:c>
      <x:c r="D128" s="2" t="n">
        <x:v>2200</x:v>
      </x:c>
      <x:c r="E128" s="11" t="n">
        <x:v>46022.5</x:v>
      </x:c>
      <x:c r="F128" s="2" t="n">
        <x:v>12</x:v>
      </x:c>
      <x:c r="G128" s="2" t="n">
        <x:v>35</x:v>
      </x:c>
      <x:c r="H128" s="10" t="n">
        <x:f>IF(F128=0,"无销量",D128*30/F128)</x:f>
        <x:v>5500</x:v>
      </x:c>
      <x:c r="I128" s="10" t="n">
        <x:f>IF(G128=0,"无销量",D128*90/G128)</x:f>
        <x:v>5657.142857142857</x:v>
      </x:c>
    </x:row>
    <x:row r="129" ht="27" customHeight="1">
      <x:c r="A129" s="2" t="str">
        <x:v>PROD10120</x:v>
      </x:c>
      <x:c r="B129" s="2" t="str">
        <x:v>Appliances</x:v>
      </x:c>
      <x:c r="C129" s="2" t="str">
        <x:v>Bhatt-Rajan Deluxe Kitchen Appliance</x:v>
      </x:c>
      <x:c r="D129" s="2" t="n">
        <x:v>877</x:v>
      </x:c>
      <x:c r="E129" s="11" t="n">
        <x:v>46022.5</x:v>
      </x:c>
      <x:c r="F129" s="2" t="n">
        <x:v>6</x:v>
      </x:c>
      <x:c r="G129" s="2" t="n">
        <x:v>22</x:v>
      </x:c>
      <x:c r="H129" s="10" t="n">
        <x:f>IF(F129=0,"无销量",D129*30/F129)</x:f>
        <x:v>4385</x:v>
      </x:c>
      <x:c r="I129" s="10" t="n">
        <x:f>IF(G129=0,"无销量",D129*90/G129)</x:f>
        <x:v>3587.7272727272725</x:v>
      </x:c>
    </x:row>
    <x:row r="130" ht="27" customHeight="1">
      <x:c r="A130" s="2" t="str">
        <x:v>PROD10121</x:v>
      </x:c>
      <x:c r="B130" s="2" t="str">
        <x:v>Mobile Accessories</x:v>
      </x:c>
      <x:c r="C130" s="2" t="str">
        <x:v>Shanker-Dhar Basic Charger</x:v>
      </x:c>
      <x:c r="D130" s="2" t="n">
        <x:v>1460</x:v>
      </x:c>
      <x:c r="E130" s="11" t="n">
        <x:v>46022.5</x:v>
      </x:c>
      <x:c r="F130" s="2" t="n">
        <x:v>4</x:v>
      </x:c>
      <x:c r="G130" s="2" t="n">
        <x:v>38</x:v>
      </x:c>
      <x:c r="H130" s="10" t="n">
        <x:f>IF(F130=0,"无销量",D130*30/F130)</x:f>
        <x:v>10950</x:v>
      </x:c>
      <x:c r="I130" s="10" t="n">
        <x:f>IF(G130=0,"无销量",D130*90/G130)</x:f>
        <x:v>3457.8947368421054</x:v>
      </x:c>
    </x:row>
    <x:row r="131" ht="27" customHeight="1">
      <x:c r="A131" s="2" t="str">
        <x:v>PROD10122</x:v>
      </x:c>
      <x:c r="B131" s="2" t="str">
        <x:v>Home &amp; Kitchen</x:v>
      </x:c>
      <x:c r="C131" s="2" t="str">
        <x:v>Setty Deluxe Bedding</x:v>
      </x:c>
      <x:c r="D131" s="2" t="n">
        <x:v>2532</x:v>
      </x:c>
      <x:c r="E131" s="11" t="n">
        <x:v>46022.5</x:v>
      </x:c>
      <x:c r="F131" s="2" t="n">
        <x:v>65</x:v>
      </x:c>
      <x:c r="G131" s="2" t="n">
        <x:v>144</x:v>
      </x:c>
      <x:c r="H131" s="10" t="n">
        <x:f>IF(F131=0,"无销量",D131*30/F131)</x:f>
        <x:v>1168.6153846153845</x:v>
      </x:c>
      <x:c r="I131" s="10" t="n">
        <x:f>IF(G131=0,"无销量",D131*90/G131)</x:f>
        <x:v>1582.5</x:v>
      </x:c>
    </x:row>
    <x:row r="132" ht="27" customHeight="1">
      <x:c r="A132" s="2" t="str">
        <x:v>PROD10123</x:v>
      </x:c>
      <x:c r="B132" s="2" t="str">
        <x:v>Office Supplies</x:v>
      </x:c>
      <x:c r="C132" s="2" t="str">
        <x:v>Prakash, Basic Office Equipment</x:v>
      </x:c>
      <x:c r="D132" s="2" t="n">
        <x:v>571</x:v>
      </x:c>
      <x:c r="E132" s="11" t="n">
        <x:v>46022.5</x:v>
      </x:c>
      <x:c r="F132" s="2" t="n">
        <x:v>29</x:v>
      </x:c>
      <x:c r="G132" s="2" t="n">
        <x:v>77</x:v>
      </x:c>
      <x:c r="H132" s="10" t="n">
        <x:f>IF(F132=0,"无销量",D132*30/F132)</x:f>
        <x:v>590.6896551724138</x:v>
      </x:c>
      <x:c r="I132" s="10" t="n">
        <x:f>IF(G132=0,"无销量",D132*90/G132)</x:f>
        <x:v>667.4025974025974</x:v>
      </x:c>
    </x:row>
    <x:row r="133" ht="27" customHeight="1">
      <x:c r="A133" s="2" t="str">
        <x:v>PROD10124</x:v>
      </x:c>
      <x:c r="B133" s="2" t="str">
        <x:v>Baby Care</x:v>
      </x:c>
      <x:c r="C133" s="2" t="str">
        <x:v>Iyer, Advanced Baby Food</x:v>
      </x:c>
      <x:c r="D133" s="2" t="n">
        <x:v>2122</x:v>
      </x:c>
      <x:c r="E133" s="11" t="n">
        <x:v>46022.5</x:v>
      </x:c>
      <x:c r="F133" s="2" t="n">
        <x:v>202</x:v>
      </x:c>
      <x:c r="G133" s="2" t="n">
        <x:v>568</x:v>
      </x:c>
      <x:c r="H133" s="10" t="n">
        <x:f>IF(F133=0,"无销量",D133*30/F133)</x:f>
        <x:v>315.1485148514852</x:v>
      </x:c>
      <x:c r="I133" s="10" t="n">
        <x:f>IF(G133=0,"无销量",D133*90/G133)</x:f>
        <x:v>336.2323943661972</x:v>
      </x:c>
    </x:row>
    <x:row r="134" ht="27" customHeight="1">
      <x:c r="A134" s="2" t="str">
        <x:v>PROD10125</x:v>
      </x:c>
      <x:c r="B134" s="2" t="str">
        <x:v>Fashion</x:v>
      </x:c>
      <x:c r="C134" s="2" t="str">
        <x:v>Handa Compact Winter Wear</x:v>
      </x:c>
      <x:c r="D134" s="2" t="n">
        <x:v>1837</x:v>
      </x:c>
      <x:c r="E134" s="11" t="n">
        <x:v>46022.5</x:v>
      </x:c>
      <x:c r="F134" s="2" t="n">
        <x:v>18</x:v>
      </x:c>
      <x:c r="G134" s="2" t="n">
        <x:v>57</x:v>
      </x:c>
      <x:c r="H134" s="10" t="n">
        <x:f>IF(F134=0,"无销量",D134*30/F134)</x:f>
        <x:v>3061.6666666666665</x:v>
      </x:c>
      <x:c r="I134" s="10" t="n">
        <x:f>IF(G134=0,"无销量",D134*90/G134)</x:f>
        <x:v>2900.5263157894738</x:v>
      </x:c>
    </x:row>
    <x:row r="135" ht="27" customHeight="1">
      <x:c r="A135" s="2" t="str">
        <x:v>PROD10126</x:v>
      </x:c>
      <x:c r="B135" s="2" t="str">
        <x:v>Stationery</x:v>
      </x:c>
      <x:c r="C135" s="2" t="str">
        <x:v>Roy-Sibal Premium Office Stationery</x:v>
      </x:c>
      <x:c r="D135" s="2" t="n">
        <x:v>1934</x:v>
      </x:c>
      <x:c r="E135" s="11" t="n">
        <x:v>46022.5</x:v>
      </x:c>
      <x:c r="F135" s="2" t="n">
        <x:v>89</x:v>
      </x:c>
      <x:c r="G135" s="2" t="n">
        <x:v>204</x:v>
      </x:c>
      <x:c r="H135" s="10" t="n">
        <x:f>IF(F135=0,"无销量",D135*30/F135)</x:f>
        <x:v>651.9101123595506</x:v>
      </x:c>
      <x:c r="I135" s="10" t="n">
        <x:f>IF(G135=0,"无销量",D135*90/G135)</x:f>
        <x:v>853.2352941176471</x:v>
      </x:c>
    </x:row>
    <x:row r="136" ht="27" customHeight="1">
      <x:c r="A136" s="2" t="str">
        <x:v>PROD10127</x:v>
      </x:c>
      <x:c r="B136" s="2" t="str">
        <x:v>Footwear</x:v>
      </x:c>
      <x:c r="C136" s="2" t="str">
        <x:v>Morar Deluxe Men's Casual</x:v>
      </x:c>
      <x:c r="D136" s="2" t="n">
        <x:v>1692</x:v>
      </x:c>
      <x:c r="E136" s="11" t="n">
        <x:v>46022.5</x:v>
      </x:c>
      <x:c r="F136" s="2" t="n">
        <x:v>43</x:v>
      </x:c>
      <x:c r="G136" s="2" t="n">
        <x:v>75</x:v>
      </x:c>
      <x:c r="H136" s="10" t="n">
        <x:f>IF(F136=0,"无销量",D136*30/F136)</x:f>
        <x:v>1180.4651162790697</x:v>
      </x:c>
      <x:c r="I136" s="10" t="n">
        <x:f>IF(G136=0,"无销量",D136*90/G136)</x:f>
        <x:v>2030.4</x:v>
      </x:c>
    </x:row>
    <x:row r="137" ht="27" customHeight="1">
      <x:c r="A137" s="2" t="str">
        <x:v>PROD10128</x:v>
      </x:c>
      <x:c r="B137" s="2" t="str">
        <x:v>Electronics</x:v>
      </x:c>
      <x:c r="C137" s="2" t="str">
        <x:v>Choudhury, Smart Smartphone</x:v>
      </x:c>
      <x:c r="D137" s="2" t="n">
        <x:v>2908</x:v>
      </x:c>
      <x:c r="E137" s="11" t="n">
        <x:v>46022.5</x:v>
      </x:c>
      <x:c r="F137" s="2" t="n">
        <x:v>3</x:v>
      </x:c>
      <x:c r="G137" s="2" t="n">
        <x:v>20</x:v>
      </x:c>
      <x:c r="H137" s="10" t="n">
        <x:f>IF(F137=0,"无销量",D137*30/F137)</x:f>
        <x:v>29080</x:v>
      </x:c>
      <x:c r="I137" s="10" t="n">
        <x:f>IF(G137=0,"无销量",D137*90/G137)</x:f>
        <x:v>13086</x:v>
      </x:c>
    </x:row>
    <x:row r="138" ht="27" customHeight="1">
      <x:c r="A138" s="2" t="str">
        <x:v>PROD10129</x:v>
      </x:c>
      <x:c r="B138" s="2" t="str">
        <x:v>Footwear</x:v>
      </x:c>
      <x:c r="C138" s="2" t="str">
        <x:v>Handa Pro Women's Casual</x:v>
      </x:c>
      <x:c r="D138" s="2" t="n">
        <x:v>941</x:v>
      </x:c>
      <x:c r="E138" s="11" t="n">
        <x:v>46022.5</x:v>
      </x:c>
      <x:c r="F138" s="2" t="n">
        <x:v>138</x:v>
      </x:c>
      <x:c r="G138" s="2" t="n">
        <x:v>336</x:v>
      </x:c>
      <x:c r="H138" s="10" t="n">
        <x:f>IF(F138=0,"无销量",D138*30/F138)</x:f>
        <x:v>204.56521739130434</x:v>
      </x:c>
      <x:c r="I138" s="10" t="n">
        <x:f>IF(G138=0,"无销量",D138*90/G138)</x:f>
        <x:v>252.05357142857142</x:v>
      </x:c>
    </x:row>
    <x:row r="139" ht="27" customHeight="1">
      <x:c r="A139" s="2" t="str">
        <x:v>PROD10130</x:v>
      </x:c>
      <x:c r="B139" s="2" t="str">
        <x:v>Fashion</x:v>
      </x:c>
      <x:c r="C139" s="2" t="str">
        <x:v>Gola Compact Winter Wear</x:v>
      </x:c>
      <x:c r="D139" s="2" t="n">
        <x:v>2479</x:v>
      </x:c>
      <x:c r="E139" s="11" t="n">
        <x:v>46022.5</x:v>
      </x:c>
      <x:c r="F139" s="2" t="n">
        <x:v>10</x:v>
      </x:c>
      <x:c r="G139" s="2" t="n">
        <x:v>24</x:v>
      </x:c>
      <x:c r="H139" s="10" t="n">
        <x:f>IF(F139=0,"无销量",D139*30/F139)</x:f>
        <x:v>7437</x:v>
      </x:c>
      <x:c r="I139" s="10" t="n">
        <x:f>IF(G139=0,"无销量",D139*90/G139)</x:f>
        <x:v>9296.25</x:v>
      </x:c>
    </x:row>
    <x:row r="140" ht="27" customHeight="1">
      <x:c r="A140" s="2" t="str">
        <x:v>PROD10131</x:v>
      </x:c>
      <x:c r="B140" s="2" t="str">
        <x:v>Fashion</x:v>
      </x:c>
      <x:c r="C140" s="2" t="str">
        <x:v>Parmar Compact Winter Wear</x:v>
      </x:c>
      <x:c r="D140" s="2" t="n">
        <x:v>159</x:v>
      </x:c>
      <x:c r="E140" s="11" t="n">
        <x:v>46022.5</x:v>
      </x:c>
      <x:c r="F140" s="2" t="n">
        <x:v>37</x:v>
      </x:c>
      <x:c r="G140" s="2" t="n">
        <x:v>114</x:v>
      </x:c>
      <x:c r="H140" s="10" t="n">
        <x:f>IF(F140=0,"无销量",D140*30/F140)</x:f>
        <x:v>128.9189189189189</x:v>
      </x:c>
      <x:c r="I140" s="10" t="n">
        <x:f>IF(G140=0,"无销量",D140*90/G140)</x:f>
        <x:v>125.52631578947368</x:v>
      </x:c>
    </x:row>
    <x:row r="141" ht="27" customHeight="1">
      <x:c r="A141" s="2" t="str">
        <x:v>PROD10132</x:v>
      </x:c>
      <x:c r="B141" s="2" t="str">
        <x:v>Baby Care</x:v>
      </x:c>
      <x:c r="C141" s="2" t="str">
        <x:v>Dewan-Koshy Classic Diaper</x:v>
      </x:c>
      <x:c r="D141" s="2" t="n">
        <x:v>646</x:v>
      </x:c>
      <x:c r="E141" s="11" t="n">
        <x:v>46022.5</x:v>
      </x:c>
      <x:c r="F141" s="2" t="n">
        <x:v>45</x:v>
      </x:c>
      <x:c r="G141" s="2" t="n">
        <x:v>75</x:v>
      </x:c>
      <x:c r="H141" s="10" t="n">
        <x:f>IF(F141=0,"无销量",D141*30/F141)</x:f>
        <x:v>430.6666666666667</x:v>
      </x:c>
      <x:c r="I141" s="10" t="n">
        <x:f>IF(G141=0,"无销量",D141*90/G141)</x:f>
        <x:v>775.2</x:v>
      </x:c>
    </x:row>
    <x:row r="142" ht="27" customHeight="1">
      <x:c r="A142" s="2" t="str">
        <x:v>PROD10133</x:v>
      </x:c>
      <x:c r="B142" s="2" t="str">
        <x:v>Musical Instruments</x:v>
      </x:c>
      <x:c r="C142" s="2" t="str">
        <x:v>Memon Compact Electronic Instrument</x:v>
      </x:c>
      <x:c r="D142" s="2" t="n">
        <x:v>784</x:v>
      </x:c>
      <x:c r="E142" s="11" t="n">
        <x:v>46022.5</x:v>
      </x:c>
      <x:c r="F142" s="2" t="n">
        <x:v>93</x:v>
      </x:c>
      <x:c r="G142" s="2" t="n">
        <x:v>212</x:v>
      </x:c>
      <x:c r="H142" s="10" t="n">
        <x:f>IF(F142=0,"无销量",D142*30/F142)</x:f>
        <x:v>252.90322580645162</x:v>
      </x:c>
      <x:c r="I142" s="10" t="n">
        <x:f>IF(G142=0,"无销量",D142*90/G142)</x:f>
        <x:v>332.8301886792453</x:v>
      </x:c>
    </x:row>
    <x:row r="143" ht="27" customHeight="1">
      <x:c r="A143" s="2" t="str">
        <x:v>PROD10134</x:v>
      </x:c>
      <x:c r="B143" s="2" t="str">
        <x:v>Mobile Accessories</x:v>
      </x:c>
      <x:c r="C143" s="2" t="str">
        <x:v>Palla Signature Charger</x:v>
      </x:c>
      <x:c r="D143" s="2" t="n">
        <x:v>174</x:v>
      </x:c>
      <x:c r="E143" s="11" t="n">
        <x:v>46022.5</x:v>
      </x:c>
      <x:c r="F143" s="2" t="n">
        <x:v>48</x:v>
      </x:c>
      <x:c r="G143" s="2" t="n">
        <x:v>132</x:v>
      </x:c>
      <x:c r="H143" s="10" t="n">
        <x:f>IF(F143=0,"无销量",D143*30/F143)</x:f>
        <x:v>108.75</x:v>
      </x:c>
      <x:c r="I143" s="10" t="n">
        <x:f>IF(G143=0,"无销量",D143*90/G143)</x:f>
        <x:v>118.63636363636364</x:v>
      </x:c>
    </x:row>
    <x:row r="144" ht="27" customHeight="1">
      <x:c r="A144" s="2" t="str">
        <x:v>PROD10135</x:v>
      </x:c>
      <x:c r="B144" s="2" t="str">
        <x:v>Musical Instruments</x:v>
      </x:c>
      <x:c r="C144" s="2" t="str">
        <x:v>Yadav, Ultra Electronic Instrument</x:v>
      </x:c>
      <x:c r="D144" s="2" t="n">
        <x:v>1168</x:v>
      </x:c>
      <x:c r="E144" s="11" t="n">
        <x:v>46022.5</x:v>
      </x:c>
      <x:c r="F144" s="2" t="n">
        <x:v>82</x:v>
      </x:c>
      <x:c r="G144" s="2" t="n">
        <x:v>235</x:v>
      </x:c>
      <x:c r="H144" s="10" t="n">
        <x:f>IF(F144=0,"无销量",D144*30/F144)</x:f>
        <x:v>427.3170731707317</x:v>
      </x:c>
      <x:c r="I144" s="10" t="n">
        <x:f>IF(G144=0,"无销量",D144*90/G144)</x:f>
        <x:v>447.3191489361702</x:v>
      </x:c>
    </x:row>
    <x:row r="145" ht="27" customHeight="1">
      <x:c r="A145" s="2" t="str">
        <x:v>PROD10136</x:v>
      </x:c>
      <x:c r="B145" s="2" t="str">
        <x:v>Sports</x:v>
      </x:c>
      <x:c r="C145" s="2" t="str">
        <x:v>Chanda Deluxe Outdoor Sport</x:v>
      </x:c>
      <x:c r="D145" s="2" t="n">
        <x:v>170</x:v>
      </x:c>
      <x:c r="E145" s="11" t="n">
        <x:v>46022.5</x:v>
      </x:c>
      <x:c r="F145" s="2" t="n">
        <x:v>12</x:v>
      </x:c>
      <x:c r="G145" s="2" t="n">
        <x:v>35</x:v>
      </x:c>
      <x:c r="H145" s="10" t="n">
        <x:f>IF(F145=0,"无销量",D145*30/F145)</x:f>
        <x:v>425</x:v>
      </x:c>
      <x:c r="I145" s="10" t="n">
        <x:f>IF(G145=0,"无销量",D145*90/G145)</x:f>
        <x:v>437.14285714285717</x:v>
      </x:c>
    </x:row>
    <x:row r="146" ht="27" customHeight="1">
      <x:c r="A146" s="2" t="str">
        <x:v>PROD10137</x:v>
      </x:c>
      <x:c r="B146" s="2" t="str">
        <x:v>Grocery</x:v>
      </x:c>
      <x:c r="C146" s="2" t="str">
        <x:v>Chanda Smart Beverage</x:v>
      </x:c>
      <x:c r="D146" s="2" t="n">
        <x:v>580</x:v>
      </x:c>
      <x:c r="E146" s="11" t="n">
        <x:v>46022.5</x:v>
      </x:c>
      <x:c r="F146" s="2" t="n">
        <x:v>15</x:v>
      </x:c>
      <x:c r="G146" s="2" t="n">
        <x:v>50</x:v>
      </x:c>
      <x:c r="H146" s="10" t="n">
        <x:f>IF(F146=0,"无销量",D146*30/F146)</x:f>
        <x:v>1160</x:v>
      </x:c>
      <x:c r="I146" s="10" t="n">
        <x:f>IF(G146=0,"无销量",D146*90/G146)</x:f>
        <x:v>1044</x:v>
      </x:c>
    </x:row>
    <x:row r="147" ht="27" customHeight="1">
      <x:c r="A147" s="2" t="str">
        <x:v>PROD10138</x:v>
      </x:c>
      <x:c r="B147" s="2" t="str">
        <x:v>Fashion</x:v>
      </x:c>
      <x:c r="C147" s="2" t="str">
        <x:v>Sankar Advanced Women's Ethnic Wear</x:v>
      </x:c>
      <x:c r="D147" s="2" t="n">
        <x:v>2926</x:v>
      </x:c>
      <x:c r="E147" s="11" t="n">
        <x:v>46022.5</x:v>
      </x:c>
      <x:c r="F147" s="2" t="n">
        <x:v>13</x:v>
      </x:c>
      <x:c r="G147" s="2" t="n">
        <x:v>35</x:v>
      </x:c>
      <x:c r="H147" s="10" t="n">
        <x:f>IF(F147=0,"无销量",D147*30/F147)</x:f>
        <x:v>6752.307692307692</x:v>
      </x:c>
      <x:c r="I147" s="10" t="n">
        <x:f>IF(G147=0,"无销量",D147*90/G147)</x:f>
        <x:v>7524</x:v>
      </x:c>
    </x:row>
    <x:row r="148" ht="27" customHeight="1">
      <x:c r="A148" s="2" t="str">
        <x:v>PROD10139</x:v>
      </x:c>
      <x:c r="B148" s="2" t="str">
        <x:v>Health &amp; Wellness</x:v>
      </x:c>
      <x:c r="C148" s="2" t="str">
        <x:v>Mital, Compact Supplement</x:v>
      </x:c>
      <x:c r="D148" s="2" t="n">
        <x:v>1223</x:v>
      </x:c>
      <x:c r="E148" s="11" t="n">
        <x:v>46022.5</x:v>
      </x:c>
      <x:c r="F148" s="2" t="n">
        <x:v>1</x:v>
      </x:c>
      <x:c r="G148" s="2" t="n">
        <x:v>6</x:v>
      </x:c>
      <x:c r="H148" s="10" t="n">
        <x:f>IF(F148=0,"无销量",D148*30/F148)</x:f>
        <x:v>36690</x:v>
      </x:c>
      <x:c r="I148" s="10" t="n">
        <x:f>IF(G148=0,"无销量",D148*90/G148)</x:f>
        <x:v>18345</x:v>
      </x:c>
    </x:row>
    <x:row r="149" ht="27" customHeight="1">
      <x:c r="A149" s="2" t="str">
        <x:v>PROD10140</x:v>
      </x:c>
      <x:c r="B149" s="2" t="str">
        <x:v>Home &amp; Kitchen</x:v>
      </x:c>
      <x:c r="C149" s="2" t="str">
        <x:v>Setty Essential Home Decor</x:v>
      </x:c>
      <x:c r="D149" s="2" t="n">
        <x:v>1078</x:v>
      </x:c>
      <x:c r="E149" s="11" t="n">
        <x:v>46022.5</x:v>
      </x:c>
      <x:c r="F149" s="2" t="n">
        <x:v>4</x:v>
      </x:c>
      <x:c r="G149" s="2" t="n">
        <x:v>13</x:v>
      </x:c>
      <x:c r="H149" s="10" t="n">
        <x:f>IF(F149=0,"无销量",D149*30/F149)</x:f>
        <x:v>8085</x:v>
      </x:c>
      <x:c r="I149" s="10" t="n">
        <x:f>IF(G149=0,"无销量",D149*90/G149)</x:f>
        <x:v>7463.076923076923</x:v>
      </x:c>
    </x:row>
    <x:row r="150" ht="27" customHeight="1">
      <x:c r="A150" s="2" t="str">
        <x:v>PROD10141</x:v>
      </x:c>
      <x:c r="B150" s="2" t="str">
        <x:v>Beauty</x:v>
      </x:c>
      <x:c r="C150" s="2" t="str">
        <x:v>Choudhury Ultra Makeup</x:v>
      </x:c>
      <x:c r="D150" s="2" t="n">
        <x:v>2279</x:v>
      </x:c>
      <x:c r="E150" s="11" t="n">
        <x:v>46022.5</x:v>
      </x:c>
      <x:c r="F150" s="2" t="n">
        <x:v>13</x:v>
      </x:c>
      <x:c r="G150" s="2" t="n">
        <x:v>43</x:v>
      </x:c>
      <x:c r="H150" s="10" t="n">
        <x:f>IF(F150=0,"无销量",D150*30/F150)</x:f>
        <x:v>5259.2307692307695</x:v>
      </x:c>
      <x:c r="I150" s="10" t="n">
        <x:f>IF(G150=0,"无销量",D150*90/G150)</x:f>
        <x:v>4770</x:v>
      </x:c>
    </x:row>
    <x:row r="151" ht="27" customHeight="1">
      <x:c r="A151" s="2" t="str">
        <x:v>PROD10142</x:v>
      </x:c>
      <x:c r="B151" s="2" t="str">
        <x:v>Fashion</x:v>
      </x:c>
      <x:c r="C151" s="2" t="str">
        <x:v>Choudhury Basic Men's Topwear</x:v>
      </x:c>
      <x:c r="D151" s="2" t="n">
        <x:v>491</x:v>
      </x:c>
      <x:c r="E151" s="11" t="n">
        <x:v>46022.5</x:v>
      </x:c>
      <x:c r="F151" s="2" t="n">
        <x:v>61</x:v>
      </x:c>
      <x:c r="G151" s="2" t="n">
        <x:v>131</x:v>
      </x:c>
      <x:c r="H151" s="10" t="n">
        <x:f>IF(F151=0,"无销量",D151*30/F151)</x:f>
        <x:v>241.47540983606558</x:v>
      </x:c>
      <x:c r="I151" s="10" t="n">
        <x:f>IF(G151=0,"无销量",D151*90/G151)</x:f>
        <x:v>337.32824427480915</x:v>
      </x:c>
    </x:row>
    <x:row r="152" ht="27" customHeight="1">
      <x:c r="A152" s="2" t="str">
        <x:v>PROD10143</x:v>
      </x:c>
      <x:c r="B152" s="2" t="str">
        <x:v>Home &amp; Kitchen</x:v>
      </x:c>
      <x:c r="C152" s="2" t="str">
        <x:v>Sane, Advanced Storage &amp; Container</x:v>
      </x:c>
      <x:c r="D152" s="2" t="n">
        <x:v>722</x:v>
      </x:c>
      <x:c r="E152" s="11" t="n">
        <x:v>46022.5</x:v>
      </x:c>
      <x:c r="F152" s="2" t="n">
        <x:v>10</x:v>
      </x:c>
      <x:c r="G152" s="2" t="n">
        <x:v>22</x:v>
      </x:c>
      <x:c r="H152" s="10" t="n">
        <x:f>IF(F152=0,"无销量",D152*30/F152)</x:f>
        <x:v>2166</x:v>
      </x:c>
      <x:c r="I152" s="10" t="n">
        <x:f>IF(G152=0,"无销量",D152*90/G152)</x:f>
        <x:v>2953.6363636363635</x:v>
      </x:c>
    </x:row>
    <x:row r="153" ht="27" customHeight="1">
      <x:c r="A153" s="2" t="str">
        <x:v>PROD10144</x:v>
      </x:c>
      <x:c r="B153" s="2" t="str">
        <x:v>Beauty</x:v>
      </x:c>
      <x:c r="C153" s="2" t="str">
        <x:v>Sen, Pro Makeup</x:v>
      </x:c>
      <x:c r="D153" s="2" t="n">
        <x:v>2541</x:v>
      </x:c>
      <x:c r="E153" s="11" t="n">
        <x:v>46022.5</x:v>
      </x:c>
      <x:c r="F153" s="2" t="n">
        <x:v>68</x:v>
      </x:c>
      <x:c r="G153" s="2" t="n">
        <x:v>138</x:v>
      </x:c>
      <x:c r="H153" s="10" t="n">
        <x:f>IF(F153=0,"无销量",D153*30/F153)</x:f>
        <x:v>1121.0294117647059</x:v>
      </x:c>
      <x:c r="I153" s="10" t="n">
        <x:f>IF(G153=0,"无销量",D153*90/G153)</x:f>
        <x:v>1657.1739130434783</x:v>
      </x:c>
    </x:row>
    <x:row r="154" ht="27" customHeight="1">
      <x:c r="A154" s="2" t="str">
        <x:v>PROD10145</x:v>
      </x:c>
      <x:c r="B154" s="2" t="str">
        <x:v>Furniture</x:v>
      </x:c>
      <x:c r="C154" s="2" t="str">
        <x:v>Mittal, Premium Living Room</x:v>
      </x:c>
      <x:c r="D154" s="2" t="n">
        <x:v>175</x:v>
      </x:c>
      <x:c r="E154" s="11" t="n">
        <x:v>46022.5</x:v>
      </x:c>
      <x:c r="F154" s="2" t="n">
        <x:v>7</x:v>
      </x:c>
      <x:c r="G154" s="2" t="n">
        <x:v>60</x:v>
      </x:c>
      <x:c r="H154" s="10" t="n">
        <x:f>IF(F154=0,"无销量",D154*30/F154)</x:f>
        <x:v>750</x:v>
      </x:c>
      <x:c r="I154" s="10" t="n">
        <x:f>IF(G154=0,"无销量",D154*90/G154)</x:f>
        <x:v>262.5</x:v>
      </x:c>
    </x:row>
    <x:row r="155" ht="27" customHeight="1">
      <x:c r="A155" s="2" t="str">
        <x:v>PROD10146</x:v>
      </x:c>
      <x:c r="B155" s="2" t="str">
        <x:v>Electronics</x:v>
      </x:c>
      <x:c r="C155" s="2" t="str">
        <x:v>Rastogi Essential Speaker</x:v>
      </x:c>
      <x:c r="D155" s="2" t="n">
        <x:v>1552</x:v>
      </x:c>
      <x:c r="E155" s="11" t="n">
        <x:v>46022.5</x:v>
      </x:c>
      <x:c r="F155" s="2" t="n">
        <x:v>28</x:v>
      </x:c>
      <x:c r="G155" s="2" t="n">
        <x:v>66</x:v>
      </x:c>
      <x:c r="H155" s="10" t="n">
        <x:f>IF(F155=0,"无销量",D155*30/F155)</x:f>
        <x:v>1662.857142857143</x:v>
      </x:c>
      <x:c r="I155" s="10" t="n">
        <x:f>IF(G155=0,"无销量",D155*90/G155)</x:f>
        <x:v>2116.3636363636365</x:v>
      </x:c>
    </x:row>
    <x:row r="156" ht="27" customHeight="1">
      <x:c r="A156" s="2" t="str">
        <x:v>PROD10147</x:v>
      </x:c>
      <x:c r="B156" s="2" t="str">
        <x:v>Footwear</x:v>
      </x:c>
      <x:c r="C156" s="2" t="str">
        <x:v>Iyengar Smart Women's Casual</x:v>
      </x:c>
      <x:c r="D156" s="2" t="n">
        <x:v>971</x:v>
      </x:c>
      <x:c r="E156" s="11" t="n">
        <x:v>46022.5</x:v>
      </x:c>
      <x:c r="F156" s="2" t="n">
        <x:v>10</x:v>
      </x:c>
      <x:c r="G156" s="2" t="n">
        <x:v>32</x:v>
      </x:c>
      <x:c r="H156" s="10" t="n">
        <x:f>IF(F156=0,"无销量",D156*30/F156)</x:f>
        <x:v>2913</x:v>
      </x:c>
      <x:c r="I156" s="10" t="n">
        <x:f>IF(G156=0,"无销量",D156*90/G156)</x:f>
        <x:v>2730.9375</x:v>
      </x:c>
    </x:row>
    <x:row r="157" ht="27" customHeight="1">
      <x:c r="A157" s="2" t="str">
        <x:v>PROD10148</x:v>
      </x:c>
      <x:c r="B157" s="2" t="str">
        <x:v>Fashion</x:v>
      </x:c>
      <x:c r="C157" s="2" t="str">
        <x:v>Bhargava, Essential Men's Bottomwear</x:v>
      </x:c>
      <x:c r="D157" s="2" t="n">
        <x:v>2194</x:v>
      </x:c>
      <x:c r="E157" s="11" t="n">
        <x:v>46022.5</x:v>
      </x:c>
      <x:c r="F157" s="2" t="n">
        <x:v>107</x:v>
      </x:c>
      <x:c r="G157" s="2" t="n">
        <x:v>223</x:v>
      </x:c>
      <x:c r="H157" s="10" t="n">
        <x:f>IF(F157=0,"无销量",D157*30/F157)</x:f>
        <x:v>615.1401869158879</x:v>
      </x:c>
      <x:c r="I157" s="10" t="n">
        <x:f>IF(G157=0,"无销量",D157*90/G157)</x:f>
        <x:v>885.4708520179372</x:v>
      </x:c>
    </x:row>
    <x:row r="158" ht="27" customHeight="1">
      <x:c r="A158" s="2" t="str">
        <x:v>PROD10149</x:v>
      </x:c>
      <x:c r="B158" s="2" t="str">
        <x:v>Home &amp; Kitchen</x:v>
      </x:c>
      <x:c r="C158" s="2" t="str">
        <x:v>Dave Ultra Cookware</x:v>
      </x:c>
      <x:c r="D158" s="2" t="n">
        <x:v>937</x:v>
      </x:c>
      <x:c r="E158" s="11" t="n">
        <x:v>46022.5</x:v>
      </x:c>
      <x:c r="F158" s="2" t="n">
        <x:v>22</x:v>
      </x:c>
      <x:c r="G158" s="2" t="n">
        <x:v>53</x:v>
      </x:c>
      <x:c r="H158" s="10" t="n">
        <x:f>IF(F158=0,"无销量",D158*30/F158)</x:f>
        <x:v>1277.7272727272727</x:v>
      </x:c>
      <x:c r="I158" s="10" t="n">
        <x:f>IF(G158=0,"无销量",D158*90/G158)</x:f>
        <x:v>1591.132075471698</x:v>
      </x:c>
    </x:row>
    <x:row r="159" ht="27" customHeight="1">
      <x:c r="A159" s="2" t="str">
        <x:v>PROD10150</x:v>
      </x:c>
      <x:c r="B159" s="2" t="str">
        <x:v>Mobile Accessories</x:v>
      </x:c>
      <x:c r="C159" s="2" t="str">
        <x:v>Chaudhari, Classic Phone Case</x:v>
      </x:c>
      <x:c r="D159" s="2" t="n">
        <x:v>2251</x:v>
      </x:c>
      <x:c r="E159" s="11" t="n">
        <x:v>46022.5</x:v>
      </x:c>
      <x:c r="F159" s="2" t="n">
        <x:v>20</x:v>
      </x:c>
      <x:c r="G159" s="2" t="n">
        <x:v>54</x:v>
      </x:c>
      <x:c r="H159" s="10" t="n">
        <x:f>IF(F159=0,"无销量",D159*30/F159)</x:f>
        <x:v>3376.5</x:v>
      </x:c>
      <x:c r="I159" s="10" t="n">
        <x:f>IF(G159=0,"无销量",D159*90/G159)</x:f>
        <x:v>3751.6666666666665</x:v>
      </x:c>
    </x:row>
    <x:row r="160" ht="27" customHeight="1">
      <x:c r="A160" s="2" t="str">
        <x:v>PROD10151</x:v>
      </x:c>
      <x:c r="B160" s="2" t="str">
        <x:v>Fashion</x:v>
      </x:c>
      <x:c r="C160" s="2" t="str">
        <x:v>Randhawa-Deep Advanced Men's Bottomwear</x:v>
      </x:c>
      <x:c r="D160" s="2" t="n">
        <x:v>1878</x:v>
      </x:c>
      <x:c r="E160" s="11" t="n">
        <x:v>46022.5</x:v>
      </x:c>
      <x:c r="F160" s="2" t="n">
        <x:v>12</x:v>
      </x:c>
      <x:c r="G160" s="2" t="n">
        <x:v>22</x:v>
      </x:c>
      <x:c r="H160" s="10" t="n">
        <x:f>IF(F160=0,"无销量",D160*30/F160)</x:f>
        <x:v>4695</x:v>
      </x:c>
      <x:c r="I160" s="10" t="n">
        <x:f>IF(G160=0,"无销量",D160*90/G160)</x:f>
        <x:v>7682.727272727273</x:v>
      </x:c>
    </x:row>
    <x:row r="161" ht="27" customHeight="1">
      <x:c r="A161" s="2" t="str">
        <x:v>PROD10152</x:v>
      </x:c>
      <x:c r="B161" s="2" t="str">
        <x:v>Electronics</x:v>
      </x:c>
      <x:c r="C161" s="2" t="str">
        <x:v>Behl-Chanda Advanced Camera</x:v>
      </x:c>
      <x:c r="D161" s="2" t="n">
        <x:v>1952</x:v>
      </x:c>
      <x:c r="E161" s="11" t="n">
        <x:v>46022.5</x:v>
      </x:c>
      <x:c r="F161" s="2" t="n">
        <x:v>326</x:v>
      </x:c>
      <x:c r="G161" s="2" t="n">
        <x:v>774</x:v>
      </x:c>
      <x:c r="H161" s="10" t="n">
        <x:f>IF(F161=0,"无销量",D161*30/F161)</x:f>
        <x:v>179.6319018404908</x:v>
      </x:c>
      <x:c r="I161" s="10" t="n">
        <x:f>IF(G161=0,"无销量",D161*90/G161)</x:f>
        <x:v>226.97674418604652</x:v>
      </x:c>
    </x:row>
    <x:row r="162" ht="27" customHeight="1">
      <x:c r="A162" s="2" t="str">
        <x:v>PROD10153</x:v>
      </x:c>
      <x:c r="B162" s="2" t="str">
        <x:v>Electronics</x:v>
      </x:c>
      <x:c r="C162" s="2" t="str">
        <x:v>Nagy, Smart Speaker</x:v>
      </x:c>
      <x:c r="D162" s="2" t="n">
        <x:v>1032</x:v>
      </x:c>
      <x:c r="E162" s="11" t="n">
        <x:v>46022.5</x:v>
      </x:c>
      <x:c r="F162" s="2" t="n">
        <x:v>138</x:v>
      </x:c>
      <x:c r="G162" s="2" t="n">
        <x:v>367</x:v>
      </x:c>
      <x:c r="H162" s="10" t="n">
        <x:f>IF(F162=0,"无销量",D162*30/F162)</x:f>
        <x:v>224.34782608695653</x:v>
      </x:c>
      <x:c r="I162" s="10" t="n">
        <x:f>IF(G162=0,"无销量",D162*90/G162)</x:f>
        <x:v>253.07901907356947</x:v>
      </x:c>
    </x:row>
    <x:row r="163" ht="27" customHeight="1">
      <x:c r="A163" s="2" t="str">
        <x:v>PROD10154</x:v>
      </x:c>
      <x:c r="B163" s="2" t="str">
        <x:v>Toys</x:v>
      </x:c>
      <x:c r="C163" s="2" t="str">
        <x:v>Yohannan, Deluxe Educational Toy</x:v>
      </x:c>
      <x:c r="D163" s="2" t="n">
        <x:v>522</x:v>
      </x:c>
      <x:c r="E163" s="11" t="n">
        <x:v>46022.5</x:v>
      </x:c>
      <x:c r="F163" s="2" t="n">
        <x:v>4</x:v>
      </x:c>
      <x:c r="G163" s="2" t="n">
        <x:v>27</x:v>
      </x:c>
      <x:c r="H163" s="10" t="n">
        <x:f>IF(F163=0,"无销量",D163*30/F163)</x:f>
        <x:v>3915</x:v>
      </x:c>
      <x:c r="I163" s="10" t="n">
        <x:f>IF(G163=0,"无销量",D163*90/G163)</x:f>
        <x:v>1740</x:v>
      </x:c>
    </x:row>
    <x:row r="164" ht="27" customHeight="1">
      <x:c r="A164" s="2" t="str">
        <x:v>PROD10155</x:v>
      </x:c>
      <x:c r="B164" s="2" t="str">
        <x:v>Home &amp; Kitchen</x:v>
      </x:c>
      <x:c r="C164" s="2" t="str">
        <x:v>Ahluwalia, Deluxe Dinnerware</x:v>
      </x:c>
      <x:c r="D164" s="2" t="n">
        <x:v>2800</x:v>
      </x:c>
      <x:c r="E164" s="11" t="n">
        <x:v>46022.5</x:v>
      </x:c>
      <x:c r="F164" s="2" t="n">
        <x:v>147</x:v>
      </x:c>
      <x:c r="G164" s="2" t="n">
        <x:v>327</x:v>
      </x:c>
      <x:c r="H164" s="10" t="n">
        <x:f>IF(F164=0,"无销量",D164*30/F164)</x:f>
        <x:v>571.4285714285714</x:v>
      </x:c>
      <x:c r="I164" s="10" t="n">
        <x:f>IF(G164=0,"无销量",D164*90/G164)</x:f>
        <x:v>770.6422018348624</x:v>
      </x:c>
    </x:row>
    <x:row r="165" ht="27" customHeight="1">
      <x:c r="A165" s="2" t="str">
        <x:v>PROD10156</x:v>
      </x:c>
      <x:c r="B165" s="2" t="str">
        <x:v>Grocery</x:v>
      </x:c>
      <x:c r="C165" s="2" t="str">
        <x:v>Shanker-Dhar Signature Staple</x:v>
      </x:c>
      <x:c r="D165" s="2" t="n">
        <x:v>1000</x:v>
      </x:c>
      <x:c r="E165" s="11" t="n">
        <x:v>46022.5</x:v>
      </x:c>
      <x:c r="F165" s="2" t="n">
        <x:v>8</x:v>
      </x:c>
      <x:c r="G165" s="2" t="n">
        <x:v>10</x:v>
      </x:c>
      <x:c r="H165" s="10" t="n">
        <x:f>IF(F165=0,"无销量",D165*30/F165)</x:f>
        <x:v>3750</x:v>
      </x:c>
      <x:c r="I165" s="10" t="n">
        <x:f>IF(G165=0,"无销量",D165*90/G165)</x:f>
        <x:v>9000</x:v>
      </x:c>
    </x:row>
    <x:row r="166" ht="27" customHeight="1">
      <x:c r="A166" s="2" t="str">
        <x:v>PROD10157</x:v>
      </x:c>
      <x:c r="B166" s="2" t="str">
        <x:v>Health &amp; Wellness</x:v>
      </x:c>
      <x:c r="C166" s="2" t="str">
        <x:v>Murthy Basic Ayurveda</x:v>
      </x:c>
      <x:c r="D166" s="2" t="n">
        <x:v>1155</x:v>
      </x:c>
      <x:c r="E166" s="11" t="n">
        <x:v>46022.5</x:v>
      </x:c>
      <x:c r="F166" s="2" t="n">
        <x:v>126</x:v>
      </x:c>
      <x:c r="G166" s="2" t="n">
        <x:v>394</x:v>
      </x:c>
      <x:c r="H166" s="10" t="n">
        <x:f>IF(F166=0,"无销量",D166*30/F166)</x:f>
        <x:v>275</x:v>
      </x:c>
      <x:c r="I166" s="10" t="n">
        <x:f>IF(G166=0,"无销量",D166*90/G166)</x:f>
        <x:v>263.83248730964465</x:v>
      </x:c>
    </x:row>
    <x:row r="167" ht="27" customHeight="1">
      <x:c r="A167" s="2" t="str">
        <x:v>PROD10158</x:v>
      </x:c>
      <x:c r="B167" s="2" t="str">
        <x:v>Toys</x:v>
      </x:c>
      <x:c r="C167" s="2" t="str">
        <x:v>Ray, Signature Board Game</x:v>
      </x:c>
      <x:c r="D167" s="2" t="n">
        <x:v>541</x:v>
      </x:c>
      <x:c r="E167" s="11" t="n">
        <x:v>46022.5</x:v>
      </x:c>
      <x:c r="F167" s="2" t="n">
        <x:v>25</x:v>
      </x:c>
      <x:c r="G167" s="2" t="n">
        <x:v>74</x:v>
      </x:c>
      <x:c r="H167" s="10" t="n">
        <x:f>IF(F167=0,"无销量",D167*30/F167)</x:f>
        <x:v>649.2</x:v>
      </x:c>
      <x:c r="I167" s="10" t="n">
        <x:f>IF(G167=0,"无销量",D167*90/G167)</x:f>
        <x:v>657.972972972973</x:v>
      </x:c>
    </x:row>
    <x:row r="168" ht="27" customHeight="1">
      <x:c r="A168" s="2" t="str">
        <x:v>PROD10159</x:v>
      </x:c>
      <x:c r="B168" s="2" t="str">
        <x:v>Mobile Accessories</x:v>
      </x:c>
      <x:c r="C168" s="2" t="str">
        <x:v>Yohannan, Ultra Screen Guard</x:v>
      </x:c>
      <x:c r="D168" s="2" t="n">
        <x:v>2230</x:v>
      </x:c>
      <x:c r="E168" s="11" t="n">
        <x:v>46022.5</x:v>
      </x:c>
      <x:c r="F168" s="2" t="n">
        <x:v>5</x:v>
      </x:c>
      <x:c r="G168" s="2" t="n">
        <x:v>5</x:v>
      </x:c>
      <x:c r="H168" s="10" t="n">
        <x:f>IF(F168=0,"无销量",D168*30/F168)</x:f>
        <x:v>13380</x:v>
      </x:c>
      <x:c r="I168" s="10" t="n">
        <x:f>IF(G168=0,"无销量",D168*90/G168)</x:f>
        <x:v>40140</x:v>
      </x:c>
    </x:row>
    <x:row r="169" ht="27" customHeight="1">
      <x:c r="A169" s="2" t="str">
        <x:v>PROD10160</x:v>
      </x:c>
      <x:c r="B169" s="2" t="str">
        <x:v>Toys</x:v>
      </x:c>
      <x:c r="C169" s="2" t="str">
        <x:v>Bhagat, Premium Action Figure</x:v>
      </x:c>
      <x:c r="D169" s="2" t="n">
        <x:v>275</x:v>
      </x:c>
      <x:c r="E169" s="11" t="n">
        <x:v>46022.5</x:v>
      </x:c>
      <x:c r="F169" s="2" t="n">
        <x:v>46</x:v>
      </x:c>
      <x:c r="G169" s="2" t="n">
        <x:v>102</x:v>
      </x:c>
      <x:c r="H169" s="10" t="n">
        <x:f>IF(F169=0,"无销量",D169*30/F169)</x:f>
        <x:v>179.34782608695653</x:v>
      </x:c>
      <x:c r="I169" s="10" t="n">
        <x:f>IF(G169=0,"无销量",D169*90/G169)</x:f>
        <x:v>242.64705882352942</x:v>
      </x:c>
    </x:row>
    <x:row r="170" ht="27" customHeight="1">
      <x:c r="A170" s="2" t="str">
        <x:v>PROD10161</x:v>
      </x:c>
      <x:c r="B170" s="2" t="str">
        <x:v>Bags</x:v>
      </x:c>
      <x:c r="C170" s="2" t="str">
        <x:v>Choudhury, Compact Wallet</x:v>
      </x:c>
      <x:c r="D170" s="2" t="n">
        <x:v>1721</x:v>
      </x:c>
      <x:c r="E170" s="11" t="n">
        <x:v>46022.5</x:v>
      </x:c>
      <x:c r="F170" s="2" t="n">
        <x:v>25</x:v>
      </x:c>
      <x:c r="G170" s="2" t="n">
        <x:v>77</x:v>
      </x:c>
      <x:c r="H170" s="10" t="n">
        <x:f>IF(F170=0,"无销量",D170*30/F170)</x:f>
        <x:v>2065.2</x:v>
      </x:c>
      <x:c r="I170" s="10" t="n">
        <x:f>IF(G170=0,"无销量",D170*90/G170)</x:f>
        <x:v>2011.5584415584415</x:v>
      </x:c>
    </x:row>
    <x:row r="171" ht="27" customHeight="1">
      <x:c r="A171" s="2" t="str">
        <x:v>PROD10162</x:v>
      </x:c>
      <x:c r="B171" s="2" t="str">
        <x:v>Electronics</x:v>
      </x:c>
      <x:c r="C171" s="2" t="str">
        <x:v>Nagy, Advanced Speaker</x:v>
      </x:c>
      <x:c r="D171" s="2" t="n">
        <x:v>2490</x:v>
      </x:c>
      <x:c r="E171" s="11" t="n">
        <x:v>46022.5</x:v>
      </x:c>
      <x:c r="F171" s="2" t="n">
        <x:v>19</x:v>
      </x:c>
      <x:c r="G171" s="2" t="n">
        <x:v>36</x:v>
      </x:c>
      <x:c r="H171" s="10" t="n">
        <x:f>IF(F171=0,"无销量",D171*30/F171)</x:f>
        <x:v>3931.5789473684213</x:v>
      </x:c>
      <x:c r="I171" s="10" t="n">
        <x:f>IF(G171=0,"无销量",D171*90/G171)</x:f>
        <x:v>6225</x:v>
      </x:c>
    </x:row>
    <x:row r="172" ht="27" customHeight="1">
      <x:c r="A172" s="2" t="str">
        <x:v>PROD10163</x:v>
      </x:c>
      <x:c r="B172" s="2" t="str">
        <x:v>Pet Supplies</x:v>
      </x:c>
      <x:c r="C172" s="2" t="str">
        <x:v>Gandhi-Lanka Smart Pet Grooming</x:v>
      </x:c>
      <x:c r="D172" s="2" t="n">
        <x:v>1155</x:v>
      </x:c>
      <x:c r="E172" s="11" t="n">
        <x:v>46022.5</x:v>
      </x:c>
      <x:c r="F172" s="2" t="n">
        <x:v>75</x:v>
      </x:c>
      <x:c r="G172" s="2" t="n">
        <x:v>227</x:v>
      </x:c>
      <x:c r="H172" s="10" t="n">
        <x:f>IF(F172=0,"无销量",D172*30/F172)</x:f>
        <x:v>462</x:v>
      </x:c>
      <x:c r="I172" s="10" t="n">
        <x:f>IF(G172=0,"无销量",D172*90/G172)</x:f>
        <x:v>457.9295154185022</x:v>
      </x:c>
    </x:row>
    <x:row r="173" ht="27" customHeight="1">
      <x:c r="A173" s="2" t="str">
        <x:v>PROD10164</x:v>
      </x:c>
      <x:c r="B173" s="2" t="str">
        <x:v>Mobile Accessories</x:v>
      </x:c>
      <x:c r="C173" s="2" t="str">
        <x:v>Rai Advanced Power Bank</x:v>
      </x:c>
      <x:c r="D173" s="2" t="n">
        <x:v>154</x:v>
      </x:c>
      <x:c r="E173" s="11" t="n">
        <x:v>46022.5</x:v>
      </x:c>
      <x:c r="F173" s="2" t="n">
        <x:v>58</x:v>
      </x:c>
      <x:c r="G173" s="2" t="n">
        <x:v>193</x:v>
      </x:c>
      <x:c r="H173" s="10" t="n">
        <x:f>IF(F173=0,"无销量",D173*30/F173)</x:f>
        <x:v>79.65517241379311</x:v>
      </x:c>
      <x:c r="I173" s="10" t="n">
        <x:f>IF(G173=0,"无销量",D173*90/G173)</x:f>
        <x:v>71.81347150259067</x:v>
      </x:c>
    </x:row>
    <x:row r="174" ht="27" customHeight="1">
      <x:c r="A174" s="2" t="str">
        <x:v>PROD10165</x:v>
      </x:c>
      <x:c r="B174" s="2" t="str">
        <x:v>Mobile Accessories</x:v>
      </x:c>
      <x:c r="C174" s="2" t="str">
        <x:v>Bhat, Advanced Phone Case</x:v>
      </x:c>
      <x:c r="D174" s="2" t="n">
        <x:v>2279</x:v>
      </x:c>
      <x:c r="E174" s="11" t="n">
        <x:v>46022.5</x:v>
      </x:c>
      <x:c r="F174" s="2" t="n">
        <x:v>8</x:v>
      </x:c>
      <x:c r="G174" s="2" t="n">
        <x:v>49</x:v>
      </x:c>
      <x:c r="H174" s="10" t="n">
        <x:f>IF(F174=0,"无销量",D174*30/F174)</x:f>
        <x:v>8546.25</x:v>
      </x:c>
      <x:c r="I174" s="10" t="n">
        <x:f>IF(G174=0,"无销量",D174*90/G174)</x:f>
        <x:v>4185.918367346939</x:v>
      </x:c>
    </x:row>
    <x:row r="175" ht="27" customHeight="1">
      <x:c r="A175" s="2" t="str">
        <x:v>PROD10166</x:v>
      </x:c>
      <x:c r="B175" s="2" t="str">
        <x:v>Electronics</x:v>
      </x:c>
      <x:c r="C175" s="2" t="str">
        <x:v>Upadhyay Basic Speaker</x:v>
      </x:c>
      <x:c r="D175" s="2" t="n">
        <x:v>1386</x:v>
      </x:c>
      <x:c r="E175" s="11" t="n">
        <x:v>46022.5</x:v>
      </x:c>
      <x:c r="F175" s="2" t="n">
        <x:v>4</x:v>
      </x:c>
      <x:c r="G175" s="2" t="n">
        <x:v>39</x:v>
      </x:c>
      <x:c r="H175" s="10" t="n">
        <x:f>IF(F175=0,"无销量",D175*30/F175)</x:f>
        <x:v>10395</x:v>
      </x:c>
      <x:c r="I175" s="10" t="n">
        <x:f>IF(G175=0,"无销量",D175*90/G175)</x:f>
        <x:v>3198.4615384615386</x:v>
      </x:c>
    </x:row>
    <x:row r="176" ht="27" customHeight="1">
      <x:c r="A176" s="2" t="str">
        <x:v>PROD10167</x:v>
      </x:c>
      <x:c r="B176" s="2" t="str">
        <x:v>Mobile Accessories</x:v>
      </x:c>
      <x:c r="C176" s="2" t="str">
        <x:v>Boase-Narayanan Deluxe Phone Case</x:v>
      </x:c>
      <x:c r="D176" s="2" t="n">
        <x:v>1515</x:v>
      </x:c>
      <x:c r="E176" s="11" t="n">
        <x:v>46022.5</x:v>
      </x:c>
      <x:c r="F176" s="2" t="n">
        <x:v>75</x:v>
      </x:c>
      <x:c r="G176" s="2" t="n">
        <x:v>195</x:v>
      </x:c>
      <x:c r="H176" s="10" t="n">
        <x:f>IF(F176=0,"无销量",D176*30/F176)</x:f>
        <x:v>606</x:v>
      </x:c>
      <x:c r="I176" s="10" t="n">
        <x:f>IF(G176=0,"无销量",D176*90/G176)</x:f>
        <x:v>699.2307692307693</x:v>
      </x:c>
    </x:row>
    <x:row r="177" ht="27" customHeight="1">
      <x:c r="A177" s="2" t="str">
        <x:v>PROD10168</x:v>
      </x:c>
      <x:c r="B177" s="2" t="str">
        <x:v>Toys</x:v>
      </x:c>
      <x:c r="C177" s="2" t="str">
        <x:v>Grewal Ultra Soft Toy</x:v>
      </x:c>
      <x:c r="D177" s="2" t="n">
        <x:v>352</x:v>
      </x:c>
      <x:c r="E177" s="11" t="n">
        <x:v>46022.5</x:v>
      </x:c>
      <x:c r="F177" s="2" t="n">
        <x:v>55</x:v>
      </x:c>
      <x:c r="G177" s="2" t="n">
        <x:v>124</x:v>
      </x:c>
      <x:c r="H177" s="10" t="n">
        <x:f>IF(F177=0,"无销量",D177*30/F177)</x:f>
        <x:v>192</x:v>
      </x:c>
      <x:c r="I177" s="10" t="n">
        <x:f>IF(G177=0,"无销量",D177*90/G177)</x:f>
        <x:v>255.48387096774192</x:v>
      </x:c>
    </x:row>
    <x:row r="178" ht="27" customHeight="1">
      <x:c r="A178" s="2" t="str">
        <x:v>PROD10169</x:v>
      </x:c>
      <x:c r="B178" s="2" t="str">
        <x:v>Fashion</x:v>
      </x:c>
      <x:c r="C178" s="2" t="str">
        <x:v>Gala Compact Winter Wear</x:v>
      </x:c>
      <x:c r="D178" s="2" t="n">
        <x:v>1329</x:v>
      </x:c>
      <x:c r="E178" s="11" t="n">
        <x:v>46022.5</x:v>
      </x:c>
      <x:c r="F178" s="2" t="n">
        <x:v>61</x:v>
      </x:c>
      <x:c r="G178" s="2" t="n">
        <x:v>155</x:v>
      </x:c>
      <x:c r="H178" s="10" t="n">
        <x:f>IF(F178=0,"无销量",D178*30/F178)</x:f>
        <x:v>653.6065573770492</x:v>
      </x:c>
      <x:c r="I178" s="10" t="n">
        <x:f>IF(G178=0,"无销量",D178*90/G178)</x:f>
        <x:v>771.6774193548387</x:v>
      </x:c>
    </x:row>
    <x:row r="179" ht="27" customHeight="1">
      <x:c r="A179" s="2" t="str">
        <x:v>PROD10170</x:v>
      </x:c>
      <x:c r="B179" s="2" t="str">
        <x:v>Home &amp; Kitchen</x:v>
      </x:c>
      <x:c r="C179" s="2" t="str">
        <x:v>Dave Ultra Dinnerware</x:v>
      </x:c>
      <x:c r="D179" s="2" t="n">
        <x:v>2841</x:v>
      </x:c>
      <x:c r="E179" s="11" t="n">
        <x:v>46022.5</x:v>
      </x:c>
      <x:c r="F179" s="2" t="n">
        <x:v>7</x:v>
      </x:c>
      <x:c r="G179" s="2" t="n">
        <x:v>26</x:v>
      </x:c>
      <x:c r="H179" s="10" t="n">
        <x:f>IF(F179=0,"无销量",D179*30/F179)</x:f>
        <x:v>12175.714285714286</x:v>
      </x:c>
      <x:c r="I179" s="10" t="n">
        <x:f>IF(G179=0,"无销量",D179*90/G179)</x:f>
        <x:v>9834.23076923077</x:v>
      </x:c>
    </x:row>
    <x:row r="180" ht="27" customHeight="1">
      <x:c r="A180" s="2" t="str">
        <x:v>PROD10171</x:v>
      </x:c>
      <x:c r="B180" s="2" t="str">
        <x:v>Footwear</x:v>
      </x:c>
      <x:c r="C180" s="2" t="str">
        <x:v>Naik Signature Sandals &amp; Flip Flop</x:v>
      </x:c>
      <x:c r="D180" s="2" t="n">
        <x:v>252</x:v>
      </x:c>
      <x:c r="E180" s="11" t="n">
        <x:v>46022.5</x:v>
      </x:c>
      <x:c r="F180" s="2" t="n">
        <x:v>26</x:v>
      </x:c>
      <x:c r="G180" s="2" t="n">
        <x:v>58</x:v>
      </x:c>
      <x:c r="H180" s="10" t="n">
        <x:f>IF(F180=0,"无销量",D180*30/F180)</x:f>
        <x:v>290.7692307692308</x:v>
      </x:c>
      <x:c r="I180" s="10" t="n">
        <x:f>IF(G180=0,"无销量",D180*90/G180)</x:f>
        <x:v>391.0344827586207</x:v>
      </x:c>
    </x:row>
    <x:row r="181" ht="27" customHeight="1">
      <x:c r="A181" s="2" t="str">
        <x:v>PROD10172</x:v>
      </x:c>
      <x:c r="B181" s="2" t="str">
        <x:v>Grocery</x:v>
      </x:c>
      <x:c r="C181" s="2" t="str">
        <x:v>Mangal-Sampath Ultra Packaged Food</x:v>
      </x:c>
      <x:c r="D181" s="2" t="n">
        <x:v>2380</x:v>
      </x:c>
      <x:c r="E181" s="11" t="n">
        <x:v>46022.5</x:v>
      </x:c>
      <x:c r="F181" s="2" t="n">
        <x:v>122</x:v>
      </x:c>
      <x:c r="G181" s="2" t="n">
        <x:v>328</x:v>
      </x:c>
      <x:c r="H181" s="10" t="n">
        <x:f>IF(F181=0,"无销量",D181*30/F181)</x:f>
        <x:v>585.2459016393443</x:v>
      </x:c>
      <x:c r="I181" s="10" t="n">
        <x:f>IF(G181=0,"无销量",D181*90/G181)</x:f>
        <x:v>653.0487804878048</x:v>
      </x:c>
    </x:row>
    <x:row r="182" ht="27" customHeight="1">
      <x:c r="A182" s="2" t="str">
        <x:v>PROD10173</x:v>
      </x:c>
      <x:c r="B182" s="2" t="str">
        <x:v>Watches</x:v>
      </x:c>
      <x:c r="C182" s="2" t="str">
        <x:v>Choudhury, Deluxe Digital Watche</x:v>
      </x:c>
      <x:c r="D182" s="2" t="n">
        <x:v>2971</x:v>
      </x:c>
      <x:c r="E182" s="11" t="n">
        <x:v>46022.5</x:v>
      </x:c>
      <x:c r="F182" s="2" t="n">
        <x:v>24</x:v>
      </x:c>
      <x:c r="G182" s="2" t="n">
        <x:v>46</x:v>
      </x:c>
      <x:c r="H182" s="10" t="n">
        <x:f>IF(F182=0,"无销量",D182*30/F182)</x:f>
        <x:v>3713.75</x:v>
      </x:c>
      <x:c r="I182" s="10" t="n">
        <x:f>IF(G182=0,"无销量",D182*90/G182)</x:f>
        <x:v>5812.826086956522</x:v>
      </x:c>
    </x:row>
    <x:row r="183" ht="27" customHeight="1">
      <x:c r="A183" s="2" t="str">
        <x:v>PROD10174</x:v>
      </x:c>
      <x:c r="B183" s="2" t="str">
        <x:v>Home &amp; Kitchen</x:v>
      </x:c>
      <x:c r="C183" s="2" t="str">
        <x:v>Prakash, Ultra Storage &amp; Container</x:v>
      </x:c>
      <x:c r="D183" s="2" t="n">
        <x:v>1314</x:v>
      </x:c>
      <x:c r="E183" s="11" t="n">
        <x:v>46022.5</x:v>
      </x:c>
      <x:c r="F183" s="2" t="n">
        <x:v>51</x:v>
      </x:c>
      <x:c r="G183" s="2" t="n">
        <x:v>180</x:v>
      </x:c>
      <x:c r="H183" s="10" t="n">
        <x:f>IF(F183=0,"无销量",D183*30/F183)</x:f>
        <x:v>772.9411764705883</x:v>
      </x:c>
      <x:c r="I183" s="10" t="n">
        <x:f>IF(G183=0,"无销量",D183*90/G183)</x:f>
        <x:v>657</x:v>
      </x:c>
    </x:row>
    <x:row r="184" ht="27" customHeight="1">
      <x:c r="A184" s="2" t="str">
        <x:v>PROD10175</x:v>
      </x:c>
      <x:c r="B184" s="2" t="str">
        <x:v>Footwear</x:v>
      </x:c>
      <x:c r="C184" s="2" t="str">
        <x:v>Dugar, Everyday Formal Shoe</x:v>
      </x:c>
      <x:c r="D184" s="2" t="n">
        <x:v>2630</x:v>
      </x:c>
      <x:c r="E184" s="11" t="n">
        <x:v>46022.5</x:v>
      </x:c>
      <x:c r="F184" s="2" t="n">
        <x:v>50</x:v>
      </x:c>
      <x:c r="G184" s="2" t="n">
        <x:v>126</x:v>
      </x:c>
      <x:c r="H184" s="10" t="n">
        <x:f>IF(F184=0,"无销量",D184*30/F184)</x:f>
        <x:v>1578</x:v>
      </x:c>
      <x:c r="I184" s="10" t="n">
        <x:f>IF(G184=0,"无销量",D184*90/G184)</x:f>
        <x:v>1878.5714285714287</x:v>
      </x:c>
    </x:row>
    <x:row r="185" ht="27" customHeight="1">
      <x:c r="A185" s="2" t="str">
        <x:v>PROD10176</x:v>
      </x:c>
      <x:c r="B185" s="2" t="str">
        <x:v>Electronics</x:v>
      </x:c>
      <x:c r="C185" s="2" t="str">
        <x:v>Gola Advanced Smartwatche</x:v>
      </x:c>
      <x:c r="D185" s="2" t="n">
        <x:v>997</x:v>
      </x:c>
      <x:c r="E185" s="11" t="n">
        <x:v>46022.5</x:v>
      </x:c>
      <x:c r="F185" s="2" t="n">
        <x:v>221</x:v>
      </x:c>
      <x:c r="G185" s="2" t="n">
        <x:v>543</x:v>
      </x:c>
      <x:c r="H185" s="10" t="n">
        <x:f>IF(F185=0,"无销量",D185*30/F185)</x:f>
        <x:v>135.3393665158371</x:v>
      </x:c>
      <x:c r="I185" s="10" t="n">
        <x:f>IF(G185=0,"无销量",D185*90/G185)</x:f>
        <x:v>165.24861878453038</x:v>
      </x:c>
    </x:row>
    <x:row r="186" ht="27" customHeight="1">
      <x:c r="A186" s="2" t="str">
        <x:v>PROD10177</x:v>
      </x:c>
      <x:c r="B186" s="2" t="str">
        <x:v>Home &amp; Kitchen</x:v>
      </x:c>
      <x:c r="C186" s="2" t="str">
        <x:v>Murthy, Everyday Dinnerware</x:v>
      </x:c>
      <x:c r="D186" s="2" t="n">
        <x:v>2627</x:v>
      </x:c>
      <x:c r="E186" s="11" t="n">
        <x:v>46022.5</x:v>
      </x:c>
      <x:c r="F186" s="2" t="n">
        <x:v>99</x:v>
      </x:c>
      <x:c r="G186" s="2" t="n">
        <x:v>257</x:v>
      </x:c>
      <x:c r="H186" s="10" t="n">
        <x:f>IF(F186=0,"无销量",D186*30/F186)</x:f>
        <x:v>796.060606060606</x:v>
      </x:c>
      <x:c r="I186" s="10" t="n">
        <x:f>IF(G186=0,"无销量",D186*90/G186)</x:f>
        <x:v>919.9610894941634</x:v>
      </x:c>
    </x:row>
    <x:row r="187" ht="27" customHeight="1">
      <x:c r="A187" s="2" t="str">
        <x:v>PROD10178</x:v>
      </x:c>
      <x:c r="B187" s="2" t="str">
        <x:v>Automotive Accessories</x:v>
      </x:c>
      <x:c r="C187" s="2" t="str">
        <x:v>Zacharia Advanced Car Care</x:v>
      </x:c>
      <x:c r="D187" s="2" t="n">
        <x:v>239</x:v>
      </x:c>
      <x:c r="E187" s="11" t="n">
        <x:v>46022.5</x:v>
      </x:c>
      <x:c r="F187" s="2" t="n">
        <x:v>18</x:v>
      </x:c>
      <x:c r="G187" s="2" t="n">
        <x:v>34</x:v>
      </x:c>
      <x:c r="H187" s="10" t="n">
        <x:f>IF(F187=0,"无销量",D187*30/F187)</x:f>
        <x:v>398.3333333333333</x:v>
      </x:c>
      <x:c r="I187" s="10" t="n">
        <x:f>IF(G187=0,"无销量",D187*90/G187)</x:f>
        <x:v>632.6470588235294</x:v>
      </x:c>
    </x:row>
    <x:row r="188" ht="27" customHeight="1">
      <x:c r="A188" s="2" t="str">
        <x:v>PROD10179</x:v>
      </x:c>
      <x:c r="B188" s="2" t="str">
        <x:v>Electronics</x:v>
      </x:c>
      <x:c r="C188" s="2" t="str">
        <x:v>Chander Compact Smartphone</x:v>
      </x:c>
      <x:c r="D188" s="2" t="n">
        <x:v>1540</x:v>
      </x:c>
      <x:c r="E188" s="11" t="n">
        <x:v>46022.5</x:v>
      </x:c>
      <x:c r="F188" s="2" t="n">
        <x:v>51</x:v>
      </x:c>
      <x:c r="G188" s="2" t="n">
        <x:v>176</x:v>
      </x:c>
      <x:c r="H188" s="10" t="n">
        <x:f>IF(F188=0,"无销量",D188*30/F188)</x:f>
        <x:v>905.8823529411765</x:v>
      </x:c>
      <x:c r="I188" s="10" t="n">
        <x:f>IF(G188=0,"无销量",D188*90/G188)</x:f>
        <x:v>787.5</x:v>
      </x:c>
    </x:row>
    <x:row r="189" ht="27" customHeight="1">
      <x:c r="A189" s="2" t="str">
        <x:v>PROD10180</x:v>
      </x:c>
      <x:c r="B189" s="2" t="str">
        <x:v>Appliances</x:v>
      </x:c>
      <x:c r="C189" s="2" t="str">
        <x:v>Nair, Essential Air Conditioner</x:v>
      </x:c>
      <x:c r="D189" s="2" t="n">
        <x:v>939</x:v>
      </x:c>
      <x:c r="E189" s="11" t="n">
        <x:v>46022.5</x:v>
      </x:c>
      <x:c r="F189" s="2" t="n">
        <x:v>61</x:v>
      </x:c>
      <x:c r="G189" s="2" t="n">
        <x:v>135</x:v>
      </x:c>
      <x:c r="H189" s="10" t="n">
        <x:f>IF(F189=0,"无销量",D189*30/F189)</x:f>
        <x:v>461.8032786885246</x:v>
      </x:c>
      <x:c r="I189" s="10" t="n">
        <x:f>IF(G189=0,"无销量",D189*90/G189)</x:f>
        <x:v>626</x:v>
      </x:c>
    </x:row>
    <x:row r="190" ht="27" customHeight="1">
      <x:c r="A190" s="2" t="str">
        <x:v>PROD10181</x:v>
      </x:c>
      <x:c r="B190" s="2" t="str">
        <x:v>Sports</x:v>
      </x:c>
      <x:c r="C190" s="2" t="str">
        <x:v>Amble Essential Yoga</x:v>
      </x:c>
      <x:c r="D190" s="2" t="n">
        <x:v>282</x:v>
      </x:c>
      <x:c r="E190" s="11" t="n">
        <x:v>46022.5</x:v>
      </x:c>
      <x:c r="F190" s="2" t="n">
        <x:v>97</x:v>
      </x:c>
      <x:c r="G190" s="2" t="n">
        <x:v>258</x:v>
      </x:c>
      <x:c r="H190" s="10" t="n">
        <x:f>IF(F190=0,"无销量",D190*30/F190)</x:f>
        <x:v>87.21649484536083</x:v>
      </x:c>
      <x:c r="I190" s="10" t="n">
        <x:f>IF(G190=0,"无销量",D190*90/G190)</x:f>
        <x:v>98.37209302325581</x:v>
      </x:c>
    </x:row>
    <x:row r="191" ht="27" customHeight="1">
      <x:c r="A191" s="2" t="str">
        <x:v>PROD10182</x:v>
      </x:c>
      <x:c r="B191" s="2" t="str">
        <x:v>Electronics</x:v>
      </x:c>
      <x:c r="C191" s="2" t="str">
        <x:v>Sen Premium Laptop</x:v>
      </x:c>
      <x:c r="D191" s="2" t="n">
        <x:v>1003</x:v>
      </x:c>
      <x:c r="E191" s="11" t="n">
        <x:v>46022.5</x:v>
      </x:c>
      <x:c r="F191" s="2" t="n">
        <x:v>21</x:v>
      </x:c>
      <x:c r="G191" s="2" t="n">
        <x:v>57</x:v>
      </x:c>
      <x:c r="H191" s="10" t="n">
        <x:f>IF(F191=0,"无销量",D191*30/F191)</x:f>
        <x:v>1432.857142857143</x:v>
      </x:c>
      <x:c r="I191" s="10" t="n">
        <x:f>IF(G191=0,"无销量",D191*90/G191)</x:f>
        <x:v>1583.6842105263158</x:v>
      </x:c>
    </x:row>
    <x:row r="192" ht="27" customHeight="1">
      <x:c r="A192" s="2" t="str">
        <x:v>PROD10183</x:v>
      </x:c>
      <x:c r="B192" s="2" t="str">
        <x:v>Toys</x:v>
      </x:c>
      <x:c r="C192" s="2" t="str">
        <x:v>Boase-Mallick Signature Action Figure</x:v>
      </x:c>
      <x:c r="D192" s="2" t="n">
        <x:v>2609</x:v>
      </x:c>
      <x:c r="E192" s="11" t="n">
        <x:v>46022.5</x:v>
      </x:c>
      <x:c r="F192" s="2" t="n">
        <x:v>22</x:v>
      </x:c>
      <x:c r="G192" s="2" t="n">
        <x:v>55</x:v>
      </x:c>
      <x:c r="H192" s="10" t="n">
        <x:f>IF(F192=0,"无销量",D192*30/F192)</x:f>
        <x:v>3557.7272727272725</x:v>
      </x:c>
      <x:c r="I192" s="10" t="n">
        <x:f>IF(G192=0,"无销量",D192*90/G192)</x:f>
        <x:v>4269.272727272727</x:v>
      </x:c>
    </x:row>
    <x:row r="193" ht="27" customHeight="1">
      <x:c r="A193" s="2" t="str">
        <x:v>PROD10184</x:v>
      </x:c>
      <x:c r="B193" s="2" t="str">
        <x:v>Pet Supplies</x:v>
      </x:c>
      <x:c r="C193" s="2" t="str">
        <x:v>Barad-Singhal Ultra Pet Food</x:v>
      </x:c>
      <x:c r="D193" s="2" t="n">
        <x:v>394</x:v>
      </x:c>
      <x:c r="E193" s="11" t="n">
        <x:v>46022.5</x:v>
      </x:c>
      <x:c r="F193" s="2" t="n">
        <x:v>10</x:v>
      </x:c>
      <x:c r="G193" s="2" t="n">
        <x:v>19</x:v>
      </x:c>
      <x:c r="H193" s="10" t="n">
        <x:f>IF(F193=0,"无销量",D193*30/F193)</x:f>
        <x:v>1182</x:v>
      </x:c>
      <x:c r="I193" s="10" t="n">
        <x:f>IF(G193=0,"无销量",D193*90/G193)</x:f>
        <x:v>1866.3157894736842</x:v>
      </x:c>
    </x:row>
    <x:row r="194" ht="27" customHeight="1">
      <x:c r="A194" s="2" t="str">
        <x:v>PROD10185</x:v>
      </x:c>
      <x:c r="B194" s="2" t="str">
        <x:v>Beauty</x:v>
      </x:c>
      <x:c r="C194" s="2" t="str">
        <x:v>Mistry, Everyday Makeup</x:v>
      </x:c>
      <x:c r="D194" s="2" t="n">
        <x:v>1976</x:v>
      </x:c>
      <x:c r="E194" s="11" t="n">
        <x:v>46022.5</x:v>
      </x:c>
      <x:c r="F194" s="2" t="n">
        <x:v>20</x:v>
      </x:c>
      <x:c r="G194" s="2" t="n">
        <x:v>51</x:v>
      </x:c>
      <x:c r="H194" s="10" t="n">
        <x:f>IF(F194=0,"无销量",D194*30/F194)</x:f>
        <x:v>2964</x:v>
      </x:c>
      <x:c r="I194" s="10" t="n">
        <x:f>IF(G194=0,"无销量",D194*90/G194)</x:f>
        <x:v>3487.0588235294117</x:v>
      </x:c>
    </x:row>
    <x:row r="195" ht="27" customHeight="1">
      <x:c r="A195" s="2" t="str">
        <x:v>PROD10186</x:v>
      </x:c>
      <x:c r="B195" s="2" t="str">
        <x:v>Furniture</x:v>
      </x:c>
      <x:c r="C195" s="2" t="str">
        <x:v>Gupta-Chandra Pro Storage</x:v>
      </x:c>
      <x:c r="D195" s="2" t="n">
        <x:v>2511</x:v>
      </x:c>
      <x:c r="E195" s="11" t="n">
        <x:v>46022.5</x:v>
      </x:c>
      <x:c r="F195" s="2" t="n">
        <x:v>38</x:v>
      </x:c>
      <x:c r="G195" s="2" t="n">
        <x:v>56</x:v>
      </x:c>
      <x:c r="H195" s="10" t="n">
        <x:f>IF(F195=0,"无销量",D195*30/F195)</x:f>
        <x:v>1982.3684210526317</x:v>
      </x:c>
      <x:c r="I195" s="10" t="n">
        <x:f>IF(G195=0,"无销量",D195*90/G195)</x:f>
        <x:v>4035.535714285714</x:v>
      </x:c>
    </x:row>
    <x:row r="196" ht="27" customHeight="1">
      <x:c r="A196" s="2" t="str">
        <x:v>PROD10187</x:v>
      </x:c>
      <x:c r="B196" s="2" t="str">
        <x:v>Personal Care</x:v>
      </x:c>
      <x:c r="C196" s="2" t="str">
        <x:v>Kapoor Classic Grooming</x:v>
      </x:c>
      <x:c r="D196" s="2" t="n">
        <x:v>2770</x:v>
      </x:c>
      <x:c r="E196" s="11" t="n">
        <x:v>46022.5</x:v>
      </x:c>
      <x:c r="F196" s="2" t="n">
        <x:v>144</x:v>
      </x:c>
      <x:c r="G196" s="2" t="n">
        <x:v>340</x:v>
      </x:c>
      <x:c r="H196" s="10" t="n">
        <x:f>IF(F196=0,"无销量",D196*30/F196)</x:f>
        <x:v>577.0833333333334</x:v>
      </x:c>
      <x:c r="I196" s="10" t="n">
        <x:f>IF(G196=0,"无销量",D196*90/G196)</x:f>
        <x:v>733.2352941176471</x:v>
      </x:c>
    </x:row>
    <x:row r="197" ht="27" customHeight="1">
      <x:c r="A197" s="2" t="str">
        <x:v>PROD10188</x:v>
      </x:c>
      <x:c r="B197" s="2" t="str">
        <x:v>Toys</x:v>
      </x:c>
      <x:c r="C197" s="2" t="str">
        <x:v>Karpe Pro Soft Toy</x:v>
      </x:c>
      <x:c r="D197" s="2" t="n">
        <x:v>38</x:v>
      </x:c>
      <x:c r="E197" s="11" t="n">
        <x:v>46022.5</x:v>
      </x:c>
      <x:c r="F197" s="2" t="n">
        <x:v>7</x:v>
      </x:c>
      <x:c r="G197" s="2" t="n">
        <x:v>9</x:v>
      </x:c>
      <x:c r="H197" s="10" t="n">
        <x:f>IF(F197=0,"无销量",D197*30/F197)</x:f>
        <x:v>162.85714285714286</x:v>
      </x:c>
      <x:c r="I197" s="10" t="n">
        <x:f>IF(G197=0,"无销量",D197*90/G197)</x:f>
        <x:v>380</x:v>
      </x:c>
    </x:row>
    <x:row r="198" ht="27" customHeight="1">
      <x:c r="A198" s="2" t="str">
        <x:v>PROD10189</x:v>
      </x:c>
      <x:c r="B198" s="2" t="str">
        <x:v>Fashion</x:v>
      </x:c>
      <x:c r="C198" s="2" t="str">
        <x:v>Merchant-Datta Everyday Winter Wear</x:v>
      </x:c>
      <x:c r="D198" s="2" t="n">
        <x:v>2027</x:v>
      </x:c>
      <x:c r="E198" s="11" t="n">
        <x:v>46022.5</x:v>
      </x:c>
      <x:c r="F198" s="2" t="n">
        <x:v>19</x:v>
      </x:c>
      <x:c r="G198" s="2" t="n">
        <x:v>44</x:v>
      </x:c>
      <x:c r="H198" s="10" t="n">
        <x:f>IF(F198=0,"无销量",D198*30/F198)</x:f>
        <x:v>3200.5263157894738</x:v>
      </x:c>
      <x:c r="I198" s="10" t="n">
        <x:f>IF(G198=0,"无销量",D198*90/G198)</x:f>
        <x:v>4146.136363636364</x:v>
      </x:c>
    </x:row>
    <x:row r="199" ht="27" customHeight="1">
      <x:c r="A199" s="2" t="str">
        <x:v>PROD10190</x:v>
      </x:c>
      <x:c r="B199" s="2" t="str">
        <x:v>Grocery</x:v>
      </x:c>
      <x:c r="C199" s="2" t="str">
        <x:v>Kar-Issac Essential Staple</x:v>
      </x:c>
      <x:c r="D199" s="2" t="n">
        <x:v>2368</x:v>
      </x:c>
      <x:c r="E199" s="11" t="n">
        <x:v>46022.5</x:v>
      </x:c>
      <x:c r="F199" s="2" t="n">
        <x:v>11</x:v>
      </x:c>
      <x:c r="G199" s="2" t="n">
        <x:v>41</x:v>
      </x:c>
      <x:c r="H199" s="10" t="n">
        <x:f>IF(F199=0,"无销量",D199*30/F199)</x:f>
        <x:v>6458.181818181818</x:v>
      </x:c>
      <x:c r="I199" s="10" t="n">
        <x:f>IF(G199=0,"无销量",D199*90/G199)</x:f>
        <x:v>5198.048780487805</x:v>
      </x:c>
    </x:row>
    <x:row r="200" ht="27" customHeight="1">
      <x:c r="A200" s="2" t="str">
        <x:v>PROD10191</x:v>
      </x:c>
      <x:c r="B200" s="2" t="str">
        <x:v>Furniture</x:v>
      </x:c>
      <x:c r="C200" s="2" t="str">
        <x:v>Barad-Singhal Pro Living Room</x:v>
      </x:c>
      <x:c r="D200" s="2" t="n">
        <x:v>2539</x:v>
      </x:c>
      <x:c r="E200" s="11" t="n">
        <x:v>46022.5</x:v>
      </x:c>
      <x:c r="F200" s="2" t="n">
        <x:v>4</x:v>
      </x:c>
      <x:c r="G200" s="2" t="n">
        <x:v>21</x:v>
      </x:c>
      <x:c r="H200" s="10" t="n">
        <x:f>IF(F200=0,"无销量",D200*30/F200)</x:f>
        <x:v>19042.5</x:v>
      </x:c>
      <x:c r="I200" s="10" t="n">
        <x:f>IF(G200=0,"无销量",D200*90/G200)</x:f>
        <x:v>10881.42857142857</x:v>
      </x:c>
    </x:row>
    <x:row r="201" ht="27" customHeight="1">
      <x:c r="A201" s="2" t="str">
        <x:v>PROD10192</x:v>
      </x:c>
      <x:c r="B201" s="2" t="str">
        <x:v>Health &amp; Wellness</x:v>
      </x:c>
      <x:c r="C201" s="2" t="str">
        <x:v>Acharya-Modi Compact Ayurveda</x:v>
      </x:c>
      <x:c r="D201" s="2" t="n">
        <x:v>1808</x:v>
      </x:c>
      <x:c r="E201" s="11" t="n">
        <x:v>46022.5</x:v>
      </x:c>
      <x:c r="F201" s="2" t="n">
        <x:v>121</x:v>
      </x:c>
      <x:c r="G201" s="2" t="n">
        <x:v>327</x:v>
      </x:c>
      <x:c r="H201" s="10" t="n">
        <x:f>IF(F201=0,"无销量",D201*30/F201)</x:f>
        <x:v>448.26446280991735</x:v>
      </x:c>
      <x:c r="I201" s="10" t="n">
        <x:f>IF(G201=0,"无销量",D201*90/G201)</x:f>
        <x:v>497.61467889908255</x:v>
      </x:c>
    </x:row>
    <x:row r="202" ht="27" customHeight="1">
      <x:c r="A202" s="2" t="str">
        <x:v>PROD10193</x:v>
      </x:c>
      <x:c r="B202" s="2" t="str">
        <x:v>Toys</x:v>
      </x:c>
      <x:c r="C202" s="2" t="str">
        <x:v>Gola Signature Board Game</x:v>
      </x:c>
      <x:c r="D202" s="2" t="n">
        <x:v>1900</x:v>
      </x:c>
      <x:c r="E202" s="11" t="n">
        <x:v>46022.5</x:v>
      </x:c>
      <x:c r="F202" s="2" t="n">
        <x:v>67</x:v>
      </x:c>
      <x:c r="G202" s="2" t="n">
        <x:v>182</x:v>
      </x:c>
      <x:c r="H202" s="10" t="n">
        <x:f>IF(F202=0,"无销量",D202*30/F202)</x:f>
        <x:v>850.7462686567164</x:v>
      </x:c>
      <x:c r="I202" s="10" t="n">
        <x:f>IF(G202=0,"无销量",D202*90/G202)</x:f>
        <x:v>939.5604395604396</x:v>
      </x:c>
    </x:row>
    <x:row r="203" ht="27" customHeight="1">
      <x:c r="A203" s="2" t="str">
        <x:v>PROD10194</x:v>
      </x:c>
      <x:c r="B203" s="2" t="str">
        <x:v>Electronics</x:v>
      </x:c>
      <x:c r="C203" s="2" t="str">
        <x:v>Boase-Narayanan Ultra Speaker</x:v>
      </x:c>
      <x:c r="D203" s="2" t="n">
        <x:v>1067</x:v>
      </x:c>
      <x:c r="E203" s="11" t="n">
        <x:v>46022.5</x:v>
      </x:c>
      <x:c r="F203" s="2" t="n">
        <x:v>13</x:v>
      </x:c>
      <x:c r="G203" s="2" t="n">
        <x:v>45</x:v>
      </x:c>
      <x:c r="H203" s="10" t="n">
        <x:f>IF(F203=0,"无销量",D203*30/F203)</x:f>
        <x:v>2462.3076923076924</x:v>
      </x:c>
      <x:c r="I203" s="10" t="n">
        <x:f>IF(G203=0,"无销量",D203*90/G203)</x:f>
        <x:v>2134</x:v>
      </x:c>
    </x:row>
    <x:row r="204" ht="27" customHeight="1">
      <x:c r="A204" s="2" t="str">
        <x:v>PROD10195</x:v>
      </x:c>
      <x:c r="B204" s="2" t="str">
        <x:v>Beauty</x:v>
      </x:c>
      <x:c r="C204" s="2" t="str">
        <x:v>Lall, Basic Fragrance</x:v>
      </x:c>
      <x:c r="D204" s="2" t="n">
        <x:v>265</x:v>
      </x:c>
      <x:c r="E204" s="11" t="n">
        <x:v>46022.5</x:v>
      </x:c>
      <x:c r="F204" s="2" t="n">
        <x:v>21</x:v>
      </x:c>
      <x:c r="G204" s="2" t="n">
        <x:v>31</x:v>
      </x:c>
      <x:c r="H204" s="10" t="n">
        <x:f>IF(F204=0,"无销量",D204*30/F204)</x:f>
        <x:v>378.57142857142856</x:v>
      </x:c>
      <x:c r="I204" s="10" t="n">
        <x:f>IF(G204=0,"无销量",D204*90/G204)</x:f>
        <x:v>769.3548387096774</x:v>
      </x:c>
    </x:row>
    <x:row r="205" ht="27" customHeight="1">
      <x:c r="A205" s="2" t="str">
        <x:v>PROD10196</x:v>
      </x:c>
      <x:c r="B205" s="2" t="str">
        <x:v>Appliances</x:v>
      </x:c>
      <x:c r="C205" s="2" t="str">
        <x:v>Dutta-Chokshi Deluxe Fans &amp; Cooler</x:v>
      </x:c>
      <x:c r="D205" s="2" t="n">
        <x:v>1874</x:v>
      </x:c>
      <x:c r="E205" s="11" t="n">
        <x:v>46022.5</x:v>
      </x:c>
      <x:c r="F205" s="2" t="n">
        <x:v>44</x:v>
      </x:c>
      <x:c r="G205" s="2" t="n">
        <x:v>111</x:v>
      </x:c>
      <x:c r="H205" s="10" t="n">
        <x:f>IF(F205=0,"无销量",D205*30/F205)</x:f>
        <x:v>1277.7272727272727</x:v>
      </x:c>
      <x:c r="I205" s="10" t="n">
        <x:f>IF(G205=0,"无销量",D205*90/G205)</x:f>
        <x:v>1519.4594594594594</x:v>
      </x:c>
    </x:row>
    <x:row r="206" ht="27" customHeight="1">
      <x:c r="A206" s="2" t="str">
        <x:v>PROD10197</x:v>
      </x:c>
      <x:c r="B206" s="2" t="str">
        <x:v>Toys</x:v>
      </x:c>
      <x:c r="C206" s="2" t="str">
        <x:v>Borra Compact Action Figure</x:v>
      </x:c>
      <x:c r="D206" s="2" t="n">
        <x:v>909</x:v>
      </x:c>
      <x:c r="E206" s="11" t="n">
        <x:v>46022.5</x:v>
      </x:c>
      <x:c r="F206" s="2" t="n">
        <x:v>3</x:v>
      </x:c>
      <x:c r="G206" s="2" t="n">
        <x:v>16</x:v>
      </x:c>
      <x:c r="H206" s="10" t="n">
        <x:f>IF(F206=0,"无销量",D206*30/F206)</x:f>
        <x:v>9090</x:v>
      </x:c>
      <x:c r="I206" s="10" t="n">
        <x:f>IF(G206=0,"无销量",D206*90/G206)</x:f>
        <x:v>5113.125</x:v>
      </x:c>
    </x:row>
    <x:row r="207" ht="27" customHeight="1">
      <x:c r="A207" s="2" t="str">
        <x:v>PROD10198</x:v>
      </x:c>
      <x:c r="B207" s="2" t="str">
        <x:v>Grocery</x:v>
      </x:c>
      <x:c r="C207" s="2" t="str">
        <x:v>Solanki, Deluxe Dairy</x:v>
      </x:c>
      <x:c r="D207" s="2" t="n">
        <x:v>2585</x:v>
      </x:c>
      <x:c r="E207" s="11" t="n">
        <x:v>46022.5</x:v>
      </x:c>
      <x:c r="F207" s="2" t="n">
        <x:v>21</x:v>
      </x:c>
      <x:c r="G207" s="2" t="n">
        <x:v>37</x:v>
      </x:c>
      <x:c r="H207" s="10" t="n">
        <x:f>IF(F207=0,"无销量",D207*30/F207)</x:f>
        <x:v>3692.8571428571427</x:v>
      </x:c>
      <x:c r="I207" s="10" t="n">
        <x:f>IF(G207=0,"无销量",D207*90/G207)</x:f>
        <x:v>6287.8378378378375</x:v>
      </x:c>
    </x:row>
    <x:row r="208" ht="27" customHeight="1">
      <x:c r="A208" s="2" t="str">
        <x:v>PROD10199</x:v>
      </x:c>
      <x:c r="B208" s="2" t="str">
        <x:v>Toys</x:v>
      </x:c>
      <x:c r="C208" s="2" t="str">
        <x:v>Pant-Kadakia Basic Soft Toy</x:v>
      </x:c>
      <x:c r="D208" s="2" t="n">
        <x:v>1874</x:v>
      </x:c>
      <x:c r="E208" s="11" t="n">
        <x:v>46022.5</x:v>
      </x:c>
      <x:c r="F208" s="2" t="n">
        <x:v>20</x:v>
      </x:c>
      <x:c r="G208" s="2" t="n">
        <x:v>50</x:v>
      </x:c>
      <x:c r="H208" s="10" t="n">
        <x:f>IF(F208=0,"无销量",D208*30/F208)</x:f>
        <x:v>2811</x:v>
      </x:c>
      <x:c r="I208" s="10" t="n">
        <x:f>IF(G208=0,"无销量",D208*90/G208)</x:f>
        <x:v>3373.2</x:v>
      </x:c>
    </x:row>
    <x:row r="209" ht="27" customHeight="1">
      <x:c r="A209" s="2" t="str">
        <x:v>PROD10200</x:v>
      </x:c>
      <x:c r="B209" s="2" t="str">
        <x:v>Footwear</x:v>
      </x:c>
      <x:c r="C209" s="2" t="str">
        <x:v>Khanna, Deluxe Sports Shoe</x:v>
      </x:c>
      <x:c r="D209" s="2" t="n">
        <x:v>2770</x:v>
      </x:c>
      <x:c r="E209" s="11" t="n">
        <x:v>46022.5</x:v>
      </x:c>
      <x:c r="F209" s="2" t="n">
        <x:v>19</x:v>
      </x:c>
      <x:c r="G209" s="2" t="n">
        <x:v>33</x:v>
      </x:c>
      <x:c r="H209" s="10" t="n">
        <x:f>IF(F209=0,"无销量",D209*30/F209)</x:f>
        <x:v>4373.684210526316</x:v>
      </x:c>
      <x:c r="I209" s="10" t="n">
        <x:f>IF(G209=0,"无销量",D209*90/G209)</x:f>
        <x:v>7554.545454545455</x:v>
      </x:c>
    </x:row>
    <x:row r="210" ht="27" customHeight="1">
      <x:c r="A210" s="2" t="str">
        <x:v>PROD10201</x:v>
      </x:c>
      <x:c r="B210" s="2" t="str">
        <x:v>Electronics</x:v>
      </x:c>
      <x:c r="C210" s="2" t="str">
        <x:v>Sood Compact Headphone</x:v>
      </x:c>
      <x:c r="D210" s="2" t="n">
        <x:v>1720</x:v>
      </x:c>
      <x:c r="E210" s="11" t="n">
        <x:v>46022.5</x:v>
      </x:c>
      <x:c r="F210" s="2" t="n">
        <x:v>16</x:v>
      </x:c>
      <x:c r="G210" s="2" t="n">
        <x:v>54</x:v>
      </x:c>
      <x:c r="H210" s="10" t="n">
        <x:f>IF(F210=0,"无销量",D210*30/F210)</x:f>
        <x:v>3225</x:v>
      </x:c>
      <x:c r="I210" s="10" t="n">
        <x:f>IF(G210=0,"无销量",D210*90/G210)</x:f>
        <x:v>2866.6666666666665</x:v>
      </x:c>
    </x:row>
    <x:row r="211" ht="27" customHeight="1">
      <x:c r="A211" s="2" t="str">
        <x:v>PROD10202</x:v>
      </x:c>
      <x:c r="B211" s="2" t="str">
        <x:v>Fashion</x:v>
      </x:c>
      <x:c r="C211" s="2" t="str">
        <x:v>Sidhu-Wadhwa Pro Men's Topwear</x:v>
      </x:c>
      <x:c r="D211" s="2" t="n">
        <x:v>698</x:v>
      </x:c>
      <x:c r="E211" s="11" t="n">
        <x:v>46022.5</x:v>
      </x:c>
      <x:c r="F211" s="2" t="n">
        <x:v>56</x:v>
      </x:c>
      <x:c r="G211" s="2" t="n">
        <x:v>152</x:v>
      </x:c>
      <x:c r="H211" s="10" t="n">
        <x:f>IF(F211=0,"无销量",D211*30/F211)</x:f>
        <x:v>373.92857142857144</x:v>
      </x:c>
      <x:c r="I211" s="10" t="n">
        <x:f>IF(G211=0,"无销量",D211*90/G211)</x:f>
        <x:v>413.2894736842105</x:v>
      </x:c>
    </x:row>
    <x:row r="212" ht="27" customHeight="1">
      <x:c r="A212" s="2" t="str">
        <x:v>PROD10203</x:v>
      </x:c>
      <x:c r="B212" s="2" t="str">
        <x:v>Appliances</x:v>
      </x:c>
      <x:c r="C212" s="2" t="str">
        <x:v>Mistry, Basic Large Appliance</x:v>
      </x:c>
      <x:c r="D212" s="2" t="n">
        <x:v>2735</x:v>
      </x:c>
      <x:c r="E212" s="11" t="n">
        <x:v>46022.5</x:v>
      </x:c>
      <x:c r="F212" s="2" t="n">
        <x:v>618</x:v>
      </x:c>
      <x:c r="G212" s="2" t="n">
        <x:v>1527</x:v>
      </x:c>
      <x:c r="H212" s="10" t="n">
        <x:f>IF(F212=0,"无销量",D212*30/F212)</x:f>
        <x:v>132.76699029126215</x:v>
      </x:c>
      <x:c r="I212" s="10" t="n">
        <x:f>IF(G212=0,"无销量",D212*90/G212)</x:f>
        <x:v>161.1984282907662</x:v>
      </x:c>
    </x:row>
    <x:row r="213" ht="27" customHeight="1">
      <x:c r="A213" s="2" t="str">
        <x:v>PROD10204</x:v>
      </x:c>
      <x:c r="B213" s="2" t="str">
        <x:v>Grocery</x:v>
      </x:c>
      <x:c r="C213" s="2" t="str">
        <x:v>Dara-Kota Classic Snack</x:v>
      </x:c>
      <x:c r="D213" s="2" t="n">
        <x:v>1538</x:v>
      </x:c>
      <x:c r="E213" s="11" t="n">
        <x:v>46022.5</x:v>
      </x:c>
      <x:c r="F213" s="2" t="n">
        <x:v>12</x:v>
      </x:c>
      <x:c r="G213" s="2" t="n">
        <x:v>31</x:v>
      </x:c>
      <x:c r="H213" s="10" t="n">
        <x:f>IF(F213=0,"无销量",D213*30/F213)</x:f>
        <x:v>3845</x:v>
      </x:c>
      <x:c r="I213" s="10" t="n">
        <x:f>IF(G213=0,"无销量",D213*90/G213)</x:f>
        <x:v>4465.1612903225805</x:v>
      </x:c>
    </x:row>
    <x:row r="214" ht="27" customHeight="1">
      <x:c r="A214" s="2" t="str">
        <x:v>PROD10205</x:v>
      </x:c>
      <x:c r="B214" s="2" t="str">
        <x:v>Books</x:v>
      </x:c>
      <x:c r="C214" s="2" t="str">
        <x:v>Lala, Smart Children's Book</x:v>
      </x:c>
      <x:c r="D214" s="2" t="n">
        <x:v>2498</x:v>
      </x:c>
      <x:c r="E214" s="11" t="n">
        <x:v>46022.5</x:v>
      </x:c>
      <x:c r="F214" s="2" t="n">
        <x:v>55</x:v>
      </x:c>
      <x:c r="G214" s="2" t="n">
        <x:v>181</x:v>
      </x:c>
      <x:c r="H214" s="10" t="n">
        <x:f>IF(F214=0,"无销量",D214*30/F214)</x:f>
        <x:v>1362.5454545454545</x:v>
      </x:c>
      <x:c r="I214" s="10" t="n">
        <x:f>IF(G214=0,"无销量",D214*90/G214)</x:f>
        <x:v>1242.0994475138123</x:v>
      </x:c>
    </x:row>
    <x:row r="215" ht="27" customHeight="1">
      <x:c r="A215" s="2" t="str">
        <x:v>PROD10206</x:v>
      </x:c>
      <x:c r="B215" s="2" t="str">
        <x:v>Personal Care</x:v>
      </x:c>
      <x:c r="C215" s="2" t="str">
        <x:v>Bajwa Ultra Grooming</x:v>
      </x:c>
      <x:c r="D215" s="2" t="n">
        <x:v>2652</x:v>
      </x:c>
      <x:c r="E215" s="11" t="n">
        <x:v>46022.5</x:v>
      </x:c>
      <x:c r="F215" s="2" t="n">
        <x:v>8</x:v>
      </x:c>
      <x:c r="G215" s="2" t="n">
        <x:v>16</x:v>
      </x:c>
      <x:c r="H215" s="10" t="n">
        <x:f>IF(F215=0,"无销量",D215*30/F215)</x:f>
        <x:v>9945</x:v>
      </x:c>
      <x:c r="I215" s="10" t="n">
        <x:f>IF(G215=0,"无销量",D215*90/G215)</x:f>
        <x:v>14917.5</x:v>
      </x:c>
    </x:row>
    <x:row r="216" ht="27" customHeight="1">
      <x:c r="A216" s="2" t="str">
        <x:v>PROD10207</x:v>
      </x:c>
      <x:c r="B216" s="2" t="str">
        <x:v>Fashion</x:v>
      </x:c>
      <x:c r="C216" s="2" t="str">
        <x:v>Iyer, Ultra Men's Topwear</x:v>
      </x:c>
      <x:c r="D216" s="2" t="n">
        <x:v>620</x:v>
      </x:c>
      <x:c r="E216" s="11" t="n">
        <x:v>46022.5</x:v>
      </x:c>
      <x:c r="F216" s="2" t="n">
        <x:v>65</x:v>
      </x:c>
      <x:c r="G216" s="2" t="n">
        <x:v>195</x:v>
      </x:c>
      <x:c r="H216" s="10" t="n">
        <x:f>IF(F216=0,"无销量",D216*30/F216)</x:f>
        <x:v>286.15384615384613</x:v>
      </x:c>
      <x:c r="I216" s="10" t="n">
        <x:f>IF(G216=0,"无销量",D216*90/G216)</x:f>
        <x:v>286.15384615384613</x:v>
      </x:c>
    </x:row>
    <x:row r="217" ht="27" customHeight="1">
      <x:c r="A217" s="2" t="str">
        <x:v>PROD10208</x:v>
      </x:c>
      <x:c r="B217" s="2" t="str">
        <x:v>Books</x:v>
      </x:c>
      <x:c r="C217" s="2" t="str">
        <x:v>Goda Basic Children's Book</x:v>
      </x:c>
      <x:c r="D217" s="2" t="n">
        <x:v>758</x:v>
      </x:c>
      <x:c r="E217" s="11" t="n">
        <x:v>46022.5</x:v>
      </x:c>
      <x:c r="F217" s="2" t="n">
        <x:v>34</x:v>
      </x:c>
      <x:c r="G217" s="2" t="n">
        <x:v>45</x:v>
      </x:c>
      <x:c r="H217" s="10" t="n">
        <x:f>IF(F217=0,"无销量",D217*30/F217)</x:f>
        <x:v>668.8235294117648</x:v>
      </x:c>
      <x:c r="I217" s="10" t="n">
        <x:f>IF(G217=0,"无销量",D217*90/G217)</x:f>
        <x:v>1516</x:v>
      </x:c>
    </x:row>
    <x:row r="218" ht="27" customHeight="1">
      <x:c r="A218" s="2" t="str">
        <x:v>PROD10209</x:v>
      </x:c>
      <x:c r="B218" s="2" t="str">
        <x:v>Bags</x:v>
      </x:c>
      <x:c r="C218" s="2" t="str">
        <x:v>Kohli-Divan Ultra Backpack</x:v>
      </x:c>
      <x:c r="D218" s="2" t="n">
        <x:v>2666</x:v>
      </x:c>
      <x:c r="E218" s="11" t="n">
        <x:v>46022.5</x:v>
      </x:c>
      <x:c r="F218" s="2" t="n">
        <x:v>74</x:v>
      </x:c>
      <x:c r="G218" s="2" t="n">
        <x:v>194</x:v>
      </x:c>
      <x:c r="H218" s="10" t="n">
        <x:f>IF(F218=0,"无销量",D218*30/F218)</x:f>
        <x:v>1080.8108108108108</x:v>
      </x:c>
      <x:c r="I218" s="10" t="n">
        <x:f>IF(G218=0,"无销量",D218*90/G218)</x:f>
        <x:v>1236.8041237113403</x:v>
      </x:c>
    </x:row>
    <x:row r="219" ht="27" customHeight="1">
      <x:c r="A219" s="2" t="str">
        <x:v>PROD10210</x:v>
      </x:c>
      <x:c r="B219" s="2" t="str">
        <x:v>Mobile Accessories</x:v>
      </x:c>
      <x:c r="C219" s="2" t="str">
        <x:v>Kapoor Smart Power Bank</x:v>
      </x:c>
      <x:c r="D219" s="2" t="n">
        <x:v>1846</x:v>
      </x:c>
      <x:c r="E219" s="11" t="n">
        <x:v>46022.5</x:v>
      </x:c>
      <x:c r="F219" s="2" t="n">
        <x:v>138</x:v>
      </x:c>
      <x:c r="G219" s="2" t="n">
        <x:v>383</x:v>
      </x:c>
      <x:c r="H219" s="10" t="n">
        <x:f>IF(F219=0,"无销量",D219*30/F219)</x:f>
        <x:v>401.30434782608694</x:v>
      </x:c>
      <x:c r="I219" s="10" t="n">
        <x:f>IF(G219=0,"无销量",D219*90/G219)</x:f>
        <x:v>433.78590078328983</x:v>
      </x:c>
    </x:row>
    <x:row r="220" ht="27" customHeight="1">
      <x:c r="A220" s="2" t="str">
        <x:v>PROD10211</x:v>
      </x:c>
      <x:c r="B220" s="2" t="str">
        <x:v>Home &amp; Kitchen</x:v>
      </x:c>
      <x:c r="C220" s="2" t="str">
        <x:v>D’Alia-Chhabra Ultra Storage &amp; Container</x:v>
      </x:c>
      <x:c r="D220" s="2" t="n">
        <x:v>1632</x:v>
      </x:c>
      <x:c r="E220" s="11" t="n">
        <x:v>46022.5</x:v>
      </x:c>
      <x:c r="F220" s="2" t="n">
        <x:v>233</x:v>
      </x:c>
      <x:c r="G220" s="2" t="n">
        <x:v>653</x:v>
      </x:c>
      <x:c r="H220" s="10" t="n">
        <x:f>IF(F220=0,"无销量",D220*30/F220)</x:f>
        <x:v>210.12875536480686</x:v>
      </x:c>
      <x:c r="I220" s="10" t="n">
        <x:f>IF(G220=0,"无销量",D220*90/G220)</x:f>
        <x:v>224.93108728943338</x:v>
      </x:c>
    </x:row>
    <x:row r="221" ht="27" customHeight="1">
      <x:c r="A221" s="2" t="str">
        <x:v>PROD10212</x:v>
      </x:c>
      <x:c r="B221" s="2" t="str">
        <x:v>Musical Instruments</x:v>
      </x:c>
      <x:c r="C221" s="2" t="str">
        <x:v>Gara-Chad Signature Electronic Instrument</x:v>
      </x:c>
      <x:c r="D221" s="2" t="n">
        <x:v>2654</x:v>
      </x:c>
      <x:c r="E221" s="11" t="n">
        <x:v>46022.5</x:v>
      </x:c>
      <x:c r="F221" s="2" t="n">
        <x:v>5</x:v>
      </x:c>
      <x:c r="G221" s="2" t="n">
        <x:v>27</x:v>
      </x:c>
      <x:c r="H221" s="10" t="n">
        <x:f>IF(F221=0,"无销量",D221*30/F221)</x:f>
        <x:v>15924</x:v>
      </x:c>
      <x:c r="I221" s="10" t="n">
        <x:f>IF(G221=0,"无销量",D221*90/G221)</x:f>
        <x:v>8846.666666666666</x:v>
      </x:c>
    </x:row>
    <x:row r="222" ht="27" customHeight="1">
      <x:c r="A222" s="2" t="str">
        <x:v>PROD10213</x:v>
      </x:c>
      <x:c r="B222" s="2" t="str">
        <x:v>Mobile Accessories</x:v>
      </x:c>
      <x:c r="C222" s="2" t="str">
        <x:v>Lanka, Essential Cable</x:v>
      </x:c>
      <x:c r="D222" s="2" t="n">
        <x:v>1474</x:v>
      </x:c>
      <x:c r="E222" s="11" t="n">
        <x:v>46022.5</x:v>
      </x:c>
      <x:c r="F222" s="2" t="n">
        <x:v>7</x:v>
      </x:c>
      <x:c r="G222" s="2" t="n">
        <x:v>10</x:v>
      </x:c>
      <x:c r="H222" s="10" t="n">
        <x:f>IF(F222=0,"无销量",D222*30/F222)</x:f>
        <x:v>6317.142857142857</x:v>
      </x:c>
      <x:c r="I222" s="10" t="n">
        <x:f>IF(G222=0,"无销量",D222*90/G222)</x:f>
        <x:v>13266</x:v>
      </x:c>
    </x:row>
    <x:row r="223" ht="27" customHeight="1">
      <x:c r="A223" s="2" t="str">
        <x:v>PROD10214</x:v>
      </x:c>
      <x:c r="B223" s="2" t="str">
        <x:v>Sports</x:v>
      </x:c>
      <x:c r="C223" s="2" t="str">
        <x:v>Ray, Everyday Yoga</x:v>
      </x:c>
      <x:c r="D223" s="2" t="n">
        <x:v>2852</x:v>
      </x:c>
      <x:c r="E223" s="11" t="n">
        <x:v>46022.5</x:v>
      </x:c>
      <x:c r="F223" s="2" t="n">
        <x:v>41</x:v>
      </x:c>
      <x:c r="G223" s="2" t="n">
        <x:v>72</x:v>
      </x:c>
      <x:c r="H223" s="10" t="n">
        <x:f>IF(F223=0,"无销量",D223*30/F223)</x:f>
        <x:v>2086.829268292683</x:v>
      </x:c>
      <x:c r="I223" s="10" t="n">
        <x:f>IF(G223=0,"无销量",D223*90/G223)</x:f>
        <x:v>3565</x:v>
      </x:c>
    </x:row>
    <x:row r="224" ht="27" customHeight="1">
      <x:c r="A224" s="2" t="str">
        <x:v>PROD10215</x:v>
      </x:c>
      <x:c r="B224" s="2" t="str">
        <x:v>Fashion</x:v>
      </x:c>
      <x:c r="C224" s="2" t="str">
        <x:v>D’Alia-Chhabra Smart Men's Topwear</x:v>
      </x:c>
      <x:c r="D224" s="2" t="n">
        <x:v>2849</x:v>
      </x:c>
      <x:c r="E224" s="11" t="n">
        <x:v>46022.5</x:v>
      </x:c>
      <x:c r="F224" s="2" t="n">
        <x:v>24</x:v>
      </x:c>
      <x:c r="G224" s="2" t="n">
        <x:v>50</x:v>
      </x:c>
      <x:c r="H224" s="10" t="n">
        <x:f>IF(F224=0,"无销量",D224*30/F224)</x:f>
        <x:v>3561.25</x:v>
      </x:c>
      <x:c r="I224" s="10" t="n">
        <x:f>IF(G224=0,"无销量",D224*90/G224)</x:f>
        <x:v>5128.2</x:v>
      </x:c>
    </x:row>
    <x:row r="225" ht="27" customHeight="1">
      <x:c r="A225" s="2" t="str">
        <x:v>PROD10216</x:v>
      </x:c>
      <x:c r="B225" s="2" t="str">
        <x:v>Fashion</x:v>
      </x:c>
      <x:c r="C225" s="2" t="str">
        <x:v>Nath Basic Winter Wear</x:v>
      </x:c>
      <x:c r="D225" s="2" t="n">
        <x:v>2188</x:v>
      </x:c>
      <x:c r="E225" s="11" t="n">
        <x:v>46022.5</x:v>
      </x:c>
      <x:c r="F225" s="2" t="n">
        <x:v>113</x:v>
      </x:c>
      <x:c r="G225" s="2" t="n">
        <x:v>316</x:v>
      </x:c>
      <x:c r="H225" s="10" t="n">
        <x:f>IF(F225=0,"无销量",D225*30/F225)</x:f>
        <x:v>580.8849557522124</x:v>
      </x:c>
      <x:c r="I225" s="10" t="n">
        <x:f>IF(G225=0,"无销量",D225*90/G225)</x:f>
        <x:v>623.1645569620254</x:v>
      </x:c>
    </x:row>
    <x:row r="226" ht="27" customHeight="1">
      <x:c r="A226" s="2" t="str">
        <x:v>PROD10217</x:v>
      </x:c>
      <x:c r="B226" s="2" t="str">
        <x:v>Grocery</x:v>
      </x:c>
      <x:c r="C226" s="2" t="str">
        <x:v>Bajwa Pro Snack</x:v>
      </x:c>
      <x:c r="D226" s="2" t="n">
        <x:v>368</x:v>
      </x:c>
      <x:c r="E226" s="11" t="n">
        <x:v>46022.5</x:v>
      </x:c>
      <x:c r="F226" s="2" t="n">
        <x:v>51</x:v>
      </x:c>
      <x:c r="G226" s="2" t="n">
        <x:v>93</x:v>
      </x:c>
      <x:c r="H226" s="10" t="n">
        <x:f>IF(F226=0,"无销量",D226*30/F226)</x:f>
        <x:v>216.47058823529412</x:v>
      </x:c>
      <x:c r="I226" s="10" t="n">
        <x:f>IF(G226=0,"无销量",D226*90/G226)</x:f>
        <x:v>356.1290322580645</x:v>
      </x:c>
    </x:row>
    <x:row r="227" ht="27" customHeight="1">
      <x:c r="A227" s="2" t="str">
        <x:v>PROD10218</x:v>
      </x:c>
      <x:c r="B227" s="2" t="str">
        <x:v>Books</x:v>
      </x:c>
      <x:c r="C227" s="2" t="str">
        <x:v>Kade-Sani Premium Comic</x:v>
      </x:c>
      <x:c r="D227" s="2" t="n">
        <x:v>1214</x:v>
      </x:c>
      <x:c r="E227" s="11" t="n">
        <x:v>46022.5</x:v>
      </x:c>
      <x:c r="F227" s="2" t="n">
        <x:v>75</x:v>
      </x:c>
      <x:c r="G227" s="2" t="n">
        <x:v>195</x:v>
      </x:c>
      <x:c r="H227" s="10" t="n">
        <x:f>IF(F227=0,"无销量",D227*30/F227)</x:f>
        <x:v>485.6</x:v>
      </x:c>
      <x:c r="I227" s="10" t="n">
        <x:f>IF(G227=0,"无销量",D227*90/G227)</x:f>
        <x:v>560.3076923076923</x:v>
      </x:c>
    </x:row>
    <x:row r="228" ht="27" customHeight="1">
      <x:c r="A228" s="2" t="str">
        <x:v>PROD10219</x:v>
      </x:c>
      <x:c r="B228" s="2" t="str">
        <x:v>Fashion</x:v>
      </x:c>
      <x:c r="C228" s="2" t="str">
        <x:v>Shan Signature Women's Western Wear</x:v>
      </x:c>
      <x:c r="D228" s="2" t="n">
        <x:v>434</x:v>
      </x:c>
      <x:c r="E228" s="11" t="n">
        <x:v>46022.5</x:v>
      </x:c>
      <x:c r="F228" s="2" t="n">
        <x:v>10</x:v>
      </x:c>
      <x:c r="G228" s="2" t="n">
        <x:v>18</x:v>
      </x:c>
      <x:c r="H228" s="10" t="n">
        <x:f>IF(F228=0,"无销量",D228*30/F228)</x:f>
        <x:v>1302</x:v>
      </x:c>
      <x:c r="I228" s="10" t="n">
        <x:f>IF(G228=0,"无销量",D228*90/G228)</x:f>
        <x:v>2170</x:v>
      </x:c>
    </x:row>
    <x:row r="229" ht="27" customHeight="1">
      <x:c r="A229" s="2" t="str">
        <x:v>PROD10220</x:v>
      </x:c>
      <x:c r="B229" s="2" t="str">
        <x:v>Footwear</x:v>
      </x:c>
      <x:c r="C229" s="2" t="str">
        <x:v>Konda, Advanced Men's Casual</x:v>
      </x:c>
      <x:c r="D229" s="2" t="n">
        <x:v>2796</x:v>
      </x:c>
      <x:c r="E229" s="11" t="n">
        <x:v>46022.5</x:v>
      </x:c>
      <x:c r="F229" s="2" t="n">
        <x:v>24</x:v>
      </x:c>
      <x:c r="G229" s="2" t="n">
        <x:v>66</x:v>
      </x:c>
      <x:c r="H229" s="10" t="n">
        <x:f>IF(F229=0,"无销量",D229*30/F229)</x:f>
        <x:v>3495</x:v>
      </x:c>
      <x:c r="I229" s="10" t="n">
        <x:f>IF(G229=0,"无销量",D229*90/G229)</x:f>
        <x:v>3812.7272727272725</x:v>
      </x:c>
    </x:row>
    <x:row r="230" ht="27" customHeight="1">
      <x:c r="A230" s="2" t="str">
        <x:v>PROD10221</x:v>
      </x:c>
      <x:c r="B230" s="2" t="str">
        <x:v>Beauty</x:v>
      </x:c>
      <x:c r="C230" s="2" t="str">
        <x:v>Bhatt-Rajan Everyday Fragrance</x:v>
      </x:c>
      <x:c r="D230" s="2" t="n">
        <x:v>1702</x:v>
      </x:c>
      <x:c r="E230" s="11" t="n">
        <x:v>46022.5</x:v>
      </x:c>
      <x:c r="F230" s="2" t="n">
        <x:v>33</x:v>
      </x:c>
      <x:c r="G230" s="2" t="n">
        <x:v>93</x:v>
      </x:c>
      <x:c r="H230" s="10" t="n">
        <x:f>IF(F230=0,"无销量",D230*30/F230)</x:f>
        <x:v>1547.2727272727273</x:v>
      </x:c>
      <x:c r="I230" s="10" t="n">
        <x:f>IF(G230=0,"无销量",D230*90/G230)</x:f>
        <x:v>1647.0967741935483</x:v>
      </x:c>
    </x:row>
    <x:row r="231" ht="27" customHeight="1">
      <x:c r="A231" s="2" t="str">
        <x:v>PROD10222</x:v>
      </x:c>
      <x:c r="B231" s="2" t="str">
        <x:v>Fashion</x:v>
      </x:c>
      <x:c r="C231" s="2" t="str">
        <x:v>Lalla, Deluxe Women's Ethnic Wear</x:v>
      </x:c>
      <x:c r="D231" s="2" t="n">
        <x:v>1465</x:v>
      </x:c>
      <x:c r="E231" s="11" t="n">
        <x:v>46022.5</x:v>
      </x:c>
      <x:c r="F231" s="2" t="n">
        <x:v>6</x:v>
      </x:c>
      <x:c r="G231" s="2" t="n">
        <x:v>13</x:v>
      </x:c>
      <x:c r="H231" s="10" t="n">
        <x:f>IF(F231=0,"无销量",D231*30/F231)</x:f>
        <x:v>7325</x:v>
      </x:c>
      <x:c r="I231" s="10" t="n">
        <x:f>IF(G231=0,"无销量",D231*90/G231)</x:f>
        <x:v>10142.307692307691</x:v>
      </x:c>
    </x:row>
    <x:row r="232" ht="27" customHeight="1">
      <x:c r="A232" s="2" t="str">
        <x:v>PROD10223</x:v>
      </x:c>
      <x:c r="B232" s="2" t="str">
        <x:v>Personal Care</x:v>
      </x:c>
      <x:c r="C232" s="2" t="str">
        <x:v>Grewal Essential Bath &amp; Body</x:v>
      </x:c>
      <x:c r="D232" s="2" t="n">
        <x:v>1148</x:v>
      </x:c>
      <x:c r="E232" s="11" t="n">
        <x:v>46022.5</x:v>
      </x:c>
      <x:c r="F232" s="2" t="n">
        <x:v>15</x:v>
      </x:c>
      <x:c r="G232" s="2" t="n">
        <x:v>29</x:v>
      </x:c>
      <x:c r="H232" s="10" t="n">
        <x:f>IF(F232=0,"无销量",D232*30/F232)</x:f>
        <x:v>2296</x:v>
      </x:c>
      <x:c r="I232" s="10" t="n">
        <x:f>IF(G232=0,"无销量",D232*90/G232)</x:f>
        <x:v>3562.7586206896553</x:v>
      </x:c>
    </x:row>
    <x:row r="233" ht="27" customHeight="1">
      <x:c r="A233" s="2" t="str">
        <x:v>PROD10224</x:v>
      </x:c>
      <x:c r="B233" s="2" t="str">
        <x:v>Mobile Accessories</x:v>
      </x:c>
      <x:c r="C233" s="2" t="str">
        <x:v>Grewal Smart Power Bank</x:v>
      </x:c>
      <x:c r="D233" s="2" t="n">
        <x:v>2422</x:v>
      </x:c>
      <x:c r="E233" s="11" t="n">
        <x:v>46022.5</x:v>
      </x:c>
      <x:c r="F233" s="2" t="n">
        <x:v>21</x:v>
      </x:c>
      <x:c r="G233" s="2" t="n">
        <x:v>66</x:v>
      </x:c>
      <x:c r="H233" s="10" t="n">
        <x:f>IF(F233=0,"无销量",D233*30/F233)</x:f>
        <x:v>3460</x:v>
      </x:c>
      <x:c r="I233" s="10" t="n">
        <x:f>IF(G233=0,"无销量",D233*90/G233)</x:f>
        <x:v>3302.7272727272725</x:v>
      </x:c>
    </x:row>
    <x:row r="234" ht="27" customHeight="1">
      <x:c r="A234" s="2" t="str">
        <x:v>PROD10225</x:v>
      </x:c>
      <x:c r="B234" s="2" t="str">
        <x:v>Beauty</x:v>
      </x:c>
      <x:c r="C234" s="2" t="str">
        <x:v>Chaudhari, Ultra Fragrance</x:v>
      </x:c>
      <x:c r="D234" s="2" t="n">
        <x:v>473</x:v>
      </x:c>
      <x:c r="E234" s="11" t="n">
        <x:v>46022.5</x:v>
      </x:c>
      <x:c r="F234" s="2" t="n">
        <x:v>148</x:v>
      </x:c>
      <x:c r="G234" s="2" t="n">
        <x:v>381</x:v>
      </x:c>
      <x:c r="H234" s="10" t="n">
        <x:f>IF(F234=0,"无销量",D234*30/F234)</x:f>
        <x:v>95.87837837837837</x:v>
      </x:c>
      <x:c r="I234" s="10" t="n">
        <x:f>IF(G234=0,"无销量",D234*90/G234)</x:f>
        <x:v>111.73228346456693</x:v>
      </x:c>
    </x:row>
    <x:row r="235" ht="27" customHeight="1">
      <x:c r="A235" s="2" t="str">
        <x:v>PROD10226</x:v>
      </x:c>
      <x:c r="B235" s="2" t="str">
        <x:v>Personal Care</x:v>
      </x:c>
      <x:c r="C235" s="2" t="str">
        <x:v>Loke, Everyday Bath &amp; Body</x:v>
      </x:c>
      <x:c r="D235" s="2" t="n">
        <x:v>1553</x:v>
      </x:c>
      <x:c r="E235" s="11" t="n">
        <x:v>46022.5</x:v>
      </x:c>
      <x:c r="F235" s="2" t="n">
        <x:v>57</x:v>
      </x:c>
      <x:c r="G235" s="2" t="n">
        <x:v>160</x:v>
      </x:c>
      <x:c r="H235" s="10" t="n">
        <x:f>IF(F235=0,"无销量",D235*30/F235)</x:f>
        <x:v>817.3684210526316</x:v>
      </x:c>
      <x:c r="I235" s="10" t="n">
        <x:f>IF(G235=0,"无销量",D235*90/G235)</x:f>
        <x:v>873.5625</x:v>
      </x:c>
    </x:row>
    <x:row r="236" ht="27" customHeight="1">
      <x:c r="A236" s="2" t="str">
        <x:v>PROD10227</x:v>
      </x:c>
      <x:c r="B236" s="2" t="str">
        <x:v>Footwear</x:v>
      </x:c>
      <x:c r="C236" s="2" t="str">
        <x:v>Kala-Vaidya Premium Men's Casual</x:v>
      </x:c>
      <x:c r="D236" s="2" t="n">
        <x:v>1482</x:v>
      </x:c>
      <x:c r="E236" s="11" t="n">
        <x:v>46022.5</x:v>
      </x:c>
      <x:c r="F236" s="2" t="n">
        <x:v>4</x:v>
      </x:c>
      <x:c r="G236" s="2" t="n">
        <x:v>25</x:v>
      </x:c>
      <x:c r="H236" s="10" t="n">
        <x:f>IF(F236=0,"无销量",D236*30/F236)</x:f>
        <x:v>11115</x:v>
      </x:c>
      <x:c r="I236" s="10" t="n">
        <x:f>IF(G236=0,"无销量",D236*90/G236)</x:f>
        <x:v>5335.2</x:v>
      </x:c>
    </x:row>
    <x:row r="237" ht="27" customHeight="1">
      <x:c r="A237" s="2" t="str">
        <x:v>PROD10228</x:v>
      </x:c>
      <x:c r="B237" s="2" t="str">
        <x:v>Stationery</x:v>
      </x:c>
      <x:c r="C237" s="2" t="str">
        <x:v>Amble Advanced Art Supplie</x:v>
      </x:c>
      <x:c r="D237" s="2" t="n">
        <x:v>533</x:v>
      </x:c>
      <x:c r="E237" s="11" t="n">
        <x:v>46022.5</x:v>
      </x:c>
      <x:c r="F237" s="2" t="n">
        <x:v>70</x:v>
      </x:c>
      <x:c r="G237" s="2" t="n">
        <x:v>177</x:v>
      </x:c>
      <x:c r="H237" s="10" t="n">
        <x:f>IF(F237=0,"无销量",D237*30/F237)</x:f>
        <x:v>228.42857142857142</x:v>
      </x:c>
      <x:c r="I237" s="10" t="n">
        <x:f>IF(G237=0,"无销量",D237*90/G237)</x:f>
        <x:v>271.0169491525424</x:v>
      </x:c>
    </x:row>
    <x:row r="238" ht="27" customHeight="1">
      <x:c r="A238" s="2" t="str">
        <x:v>PROD10229</x:v>
      </x:c>
      <x:c r="B238" s="2" t="str">
        <x:v>Grocery</x:v>
      </x:c>
      <x:c r="C238" s="2" t="str">
        <x:v>Chanda Premium Staple</x:v>
      </x:c>
      <x:c r="D238" s="2" t="n">
        <x:v>42</x:v>
      </x:c>
      <x:c r="E238" s="11" t="n">
        <x:v>46022.5</x:v>
      </x:c>
      <x:c r="F238" s="2" t="n">
        <x:v>6</x:v>
      </x:c>
      <x:c r="G238" s="2" t="n">
        <x:v>17</x:v>
      </x:c>
      <x:c r="H238" s="10" t="n">
        <x:f>IF(F238=0,"无销量",D238*30/F238)</x:f>
        <x:v>210</x:v>
      </x:c>
      <x:c r="I238" s="10" t="n">
        <x:f>IF(G238=0,"无销量",D238*90/G238)</x:f>
        <x:v>222.35294117647058</x:v>
      </x:c>
    </x:row>
    <x:row r="239" ht="27" customHeight="1">
      <x:c r="A239" s="2" t="str">
        <x:v>PROD10230</x:v>
      </x:c>
      <x:c r="B239" s="2" t="str">
        <x:v>Grocery</x:v>
      </x:c>
      <x:c r="C239" s="2" t="str">
        <x:v>Sampath, Premium Snack</x:v>
      </x:c>
      <x:c r="D239" s="2" t="n">
        <x:v>2122</x:v>
      </x:c>
      <x:c r="E239" s="11" t="n">
        <x:v>46022.5</x:v>
      </x:c>
      <x:c r="F239" s="2" t="n">
        <x:v>67</x:v>
      </x:c>
      <x:c r="G239" s="2" t="n">
        <x:v>218</x:v>
      </x:c>
      <x:c r="H239" s="10" t="n">
        <x:f>IF(F239=0,"无销量",D239*30/F239)</x:f>
        <x:v>950.1492537313433</x:v>
      </x:c>
      <x:c r="I239" s="10" t="n">
        <x:f>IF(G239=0,"无销量",D239*90/G239)</x:f>
        <x:v>876.0550458715596</x:v>
      </x:c>
    </x:row>
    <x:row r="240" ht="27" customHeight="1">
      <x:c r="A240" s="2" t="str">
        <x:v>PROD10231</x:v>
      </x:c>
      <x:c r="B240" s="2" t="str">
        <x:v>Footwear</x:v>
      </x:c>
      <x:c r="C240" s="2" t="str">
        <x:v>Setty Essential Formal Shoe</x:v>
      </x:c>
      <x:c r="D240" s="2" t="n">
        <x:v>2526</x:v>
      </x:c>
      <x:c r="E240" s="11" t="n">
        <x:v>46022.5</x:v>
      </x:c>
      <x:c r="F240" s="2" t="n">
        <x:v>512</x:v>
      </x:c>
      <x:c r="G240" s="2" t="n">
        <x:v>1331</x:v>
      </x:c>
      <x:c r="H240" s="10" t="n">
        <x:f>IF(F240=0,"无销量",D240*30/F240)</x:f>
        <x:v>148.0078125</x:v>
      </x:c>
      <x:c r="I240" s="10" t="n">
        <x:f>IF(G240=0,"无销量",D240*90/G240)</x:f>
        <x:v>170.8039068369647</x:v>
      </x:c>
    </x:row>
    <x:row r="241" ht="27" customHeight="1">
      <x:c r="A241" s="2" t="str">
        <x:v>PROD10232</x:v>
      </x:c>
      <x:c r="B241" s="2" t="str">
        <x:v>Mobile Accessories</x:v>
      </x:c>
      <x:c r="C241" s="2" t="str">
        <x:v>Boase-Mallick Advanced Cable</x:v>
      </x:c>
      <x:c r="D241" s="2" t="n">
        <x:v>56</x:v>
      </x:c>
      <x:c r="E241" s="11" t="n">
        <x:v>46022.5</x:v>
      </x:c>
      <x:c r="F241" s="2" t="n">
        <x:v>8</x:v>
      </x:c>
      <x:c r="G241" s="2" t="n">
        <x:v>21</x:v>
      </x:c>
      <x:c r="H241" s="10" t="n">
        <x:f>IF(F241=0,"无销量",D241*30/F241)</x:f>
        <x:v>210</x:v>
      </x:c>
      <x:c r="I241" s="10" t="n">
        <x:f>IF(G241=0,"无销量",D241*90/G241)</x:f>
        <x:v>240</x:v>
      </x:c>
    </x:row>
    <x:row r="242" ht="27" customHeight="1">
      <x:c r="A242" s="2" t="str">
        <x:v>PROD10233</x:v>
      </x:c>
      <x:c r="B242" s="2" t="str">
        <x:v>Home &amp; Kitchen</x:v>
      </x:c>
      <x:c r="C242" s="2" t="str">
        <x:v>Soman Essential Cookware</x:v>
      </x:c>
      <x:c r="D242" s="2" t="n">
        <x:v>1559</x:v>
      </x:c>
      <x:c r="E242" s="11" t="n">
        <x:v>46022.5</x:v>
      </x:c>
      <x:c r="F242" s="2" t="n">
        <x:v>76</x:v>
      </x:c>
      <x:c r="G242" s="2" t="n">
        <x:v>215</x:v>
      </x:c>
      <x:c r="H242" s="10" t="n">
        <x:f>IF(F242=0,"无销量",D242*30/F242)</x:f>
        <x:v>615.3947368421053</x:v>
      </x:c>
      <x:c r="I242" s="10" t="n">
        <x:f>IF(G242=0,"无销量",D242*90/G242)</x:f>
        <x:v>652.6046511627907</x:v>
      </x:c>
    </x:row>
    <x:row r="243" ht="27" customHeight="1">
      <x:c r="A243" s="2" t="str">
        <x:v>PROD10234</x:v>
      </x:c>
      <x:c r="B243" s="2" t="str">
        <x:v>Personal Care</x:v>
      </x:c>
      <x:c r="C243" s="2" t="str">
        <x:v>Bhagat, Smart Bath &amp; Body</x:v>
      </x:c>
      <x:c r="D243" s="2" t="n">
        <x:v>45</x:v>
      </x:c>
      <x:c r="E243" s="11" t="n">
        <x:v>46022.5</x:v>
      </x:c>
      <x:c r="F243" s="2" t="n">
        <x:v>12</x:v>
      </x:c>
      <x:c r="G243" s="2" t="n">
        <x:v>49</x:v>
      </x:c>
      <x:c r="H243" s="10" t="n">
        <x:f>IF(F243=0,"无销量",D243*30/F243)</x:f>
        <x:v>112.5</x:v>
      </x:c>
      <x:c r="I243" s="10" t="n">
        <x:f>IF(G243=0,"无销量",D243*90/G243)</x:f>
        <x:v>82.65306122448979</x:v>
      </x:c>
    </x:row>
    <x:row r="244" ht="27" customHeight="1">
      <x:c r="A244" s="2" t="str">
        <x:v>PROD10235</x:v>
      </x:c>
      <x:c r="B244" s="2" t="str">
        <x:v>Musical Instruments</x:v>
      </x:c>
      <x:c r="C244" s="2" t="str">
        <x:v>Yohannan, Pro String Instrument</x:v>
      </x:c>
      <x:c r="D244" s="2" t="n">
        <x:v>1600</x:v>
      </x:c>
      <x:c r="E244" s="11" t="n">
        <x:v>46022.5</x:v>
      </x:c>
      <x:c r="F244" s="2" t="n">
        <x:v>15</x:v>
      </x:c>
      <x:c r="G244" s="2" t="n">
        <x:v>38</x:v>
      </x:c>
      <x:c r="H244" s="10" t="n">
        <x:f>IF(F244=0,"无销量",D244*30/F244)</x:f>
        <x:v>3200</x:v>
      </x:c>
      <x:c r="I244" s="10" t="n">
        <x:f>IF(G244=0,"无销量",D244*90/G244)</x:f>
        <x:v>3789.4736842105262</x:v>
      </x:c>
    </x:row>
    <x:row r="245" ht="27" customHeight="1">
      <x:c r="A245" s="2" t="str">
        <x:v>PROD10236</x:v>
      </x:c>
      <x:c r="B245" s="2" t="str">
        <x:v>Electronics</x:v>
      </x:c>
      <x:c r="C245" s="2" t="str">
        <x:v>Shanker-Dhar Signature Headphone</x:v>
      </x:c>
      <x:c r="D245" s="2" t="n">
        <x:v>2382</x:v>
      </x:c>
      <x:c r="E245" s="11" t="n">
        <x:v>46022.5</x:v>
      </x:c>
      <x:c r="F245" s="2" t="n">
        <x:v>493</x:v>
      </x:c>
      <x:c r="G245" s="2" t="n">
        <x:v>1359</x:v>
      </x:c>
      <x:c r="H245" s="10" t="n">
        <x:f>IF(F245=0,"无销量",D245*30/F245)</x:f>
        <x:v>144.94929006085192</x:v>
      </x:c>
      <x:c r="I245" s="10" t="n">
        <x:f>IF(G245=0,"无销量",D245*90/G245)</x:f>
        <x:v>157.74834437086093</x:v>
      </x:c>
    </x:row>
    <x:row r="246" ht="27" customHeight="1">
      <x:c r="A246" s="2" t="str">
        <x:v>PROD10237</x:v>
      </x:c>
      <x:c r="B246" s="2" t="str">
        <x:v>Toys</x:v>
      </x:c>
      <x:c r="C246" s="2" t="str">
        <x:v>Kalla-Bhardwaj Signature Educational Toy</x:v>
      </x:c>
      <x:c r="D246" s="2" t="n">
        <x:v>2476</x:v>
      </x:c>
      <x:c r="E246" s="11" t="n">
        <x:v>46022.5</x:v>
      </x:c>
      <x:c r="F246" s="2" t="n">
        <x:v>25</x:v>
      </x:c>
      <x:c r="G246" s="2" t="n">
        <x:v>89</x:v>
      </x:c>
      <x:c r="H246" s="10" t="n">
        <x:f>IF(F246=0,"无销量",D246*30/F246)</x:f>
        <x:v>2971.2</x:v>
      </x:c>
      <x:c r="I246" s="10" t="n">
        <x:f>IF(G246=0,"无销量",D246*90/G246)</x:f>
        <x:v>2503.820224719101</x:v>
      </x:c>
    </x:row>
    <x:row r="247" ht="27" customHeight="1">
      <x:c r="A247" s="2" t="str">
        <x:v>PROD10238</x:v>
      </x:c>
      <x:c r="B247" s="2" t="str">
        <x:v>Grocery</x:v>
      </x:c>
      <x:c r="C247" s="2" t="str">
        <x:v>Kade, Basic Dairy</x:v>
      </x:c>
      <x:c r="D247" s="2" t="n">
        <x:v>749</x:v>
      </x:c>
      <x:c r="E247" s="11" t="n">
        <x:v>46022.5</x:v>
      </x:c>
      <x:c r="F247" s="2" t="n">
        <x:v>14</x:v>
      </x:c>
      <x:c r="G247" s="2" t="n">
        <x:v>39</x:v>
      </x:c>
      <x:c r="H247" s="10" t="n">
        <x:f>IF(F247=0,"无销量",D247*30/F247)</x:f>
        <x:v>1605</x:v>
      </x:c>
      <x:c r="I247" s="10" t="n">
        <x:f>IF(G247=0,"无销量",D247*90/G247)</x:f>
        <x:v>1728.4615384615386</x:v>
      </x:c>
    </x:row>
    <x:row r="248" ht="27" customHeight="1">
      <x:c r="A248" s="2" t="str">
        <x:v>PROD10239</x:v>
      </x:c>
      <x:c r="B248" s="2" t="str">
        <x:v>Bags</x:v>
      </x:c>
      <x:c r="C248" s="2" t="str">
        <x:v>Pant-Kadakia Signature Handbag</x:v>
      </x:c>
      <x:c r="D248" s="2" t="n">
        <x:v>2580</x:v>
      </x:c>
      <x:c r="E248" s="11" t="n">
        <x:v>46022.5</x:v>
      </x:c>
      <x:c r="F248" s="2" t="n">
        <x:v>60</x:v>
      </x:c>
      <x:c r="G248" s="2" t="n">
        <x:v>120</x:v>
      </x:c>
      <x:c r="H248" s="10" t="n">
        <x:f>IF(F248=0,"无销量",D248*30/F248)</x:f>
        <x:v>1290</x:v>
      </x:c>
      <x:c r="I248" s="10" t="n">
        <x:f>IF(G248=0,"无销量",D248*90/G248)</x:f>
        <x:v>1935</x:v>
      </x:c>
    </x:row>
    <x:row r="249" ht="27" customHeight="1">
      <x:c r="A249" s="2" t="str">
        <x:v>PROD10240</x:v>
      </x:c>
      <x:c r="B249" s="2" t="str">
        <x:v>Office Supplies</x:v>
      </x:c>
      <x:c r="C249" s="2" t="str">
        <x:v>Gupta-Chandra Classic Filing &amp; Storage</x:v>
      </x:c>
      <x:c r="D249" s="2" t="n">
        <x:v>129</x:v>
      </x:c>
      <x:c r="E249" s="11" t="n">
        <x:v>46022.5</x:v>
      </x:c>
      <x:c r="F249" s="2" t="n">
        <x:v>7</x:v>
      </x:c>
      <x:c r="G249" s="2" t="n">
        <x:v>22</x:v>
      </x:c>
      <x:c r="H249" s="10" t="n">
        <x:f>IF(F249=0,"无销量",D249*30/F249)</x:f>
        <x:v>552.8571428571429</x:v>
      </x:c>
      <x:c r="I249" s="10" t="n">
        <x:f>IF(G249=0,"无销量",D249*90/G249)</x:f>
        <x:v>527.7272727272727</x:v>
      </x:c>
    </x:row>
    <x:row r="250" ht="27" customHeight="1">
      <x:c r="A250" s="2" t="str">
        <x:v>PROD10241</x:v>
      </x:c>
      <x:c r="B250" s="2" t="str">
        <x:v>Mobile Accessories</x:v>
      </x:c>
      <x:c r="C250" s="2" t="str">
        <x:v>Thaman-Sandhu Classic Phone Case</x:v>
      </x:c>
      <x:c r="D250" s="2" t="n">
        <x:v>2369</x:v>
      </x:c>
      <x:c r="E250" s="11" t="n">
        <x:v>46022.5</x:v>
      </x:c>
      <x:c r="F250" s="2" t="n">
        <x:v>1</x:v>
      </x:c>
      <x:c r="G250" s="2" t="n">
        <x:v>7</x:v>
      </x:c>
      <x:c r="H250" s="10" t="n">
        <x:f>IF(F250=0,"无销量",D250*30/F250)</x:f>
        <x:v>71070</x:v>
      </x:c>
      <x:c r="I250" s="10" t="n">
        <x:f>IF(G250=0,"无销量",D250*90/G250)</x:f>
        <x:v>30458.571428571428</x:v>
      </x:c>
    </x:row>
    <x:row r="251" ht="27" customHeight="1">
      <x:c r="A251" s="2" t="str">
        <x:v>PROD10242</x:v>
      </x:c>
      <x:c r="B251" s="2" t="str">
        <x:v>Toys</x:v>
      </x:c>
      <x:c r="C251" s="2" t="str">
        <x:v>Murthy Compact Educational Toy</x:v>
      </x:c>
      <x:c r="D251" s="2" t="n">
        <x:v>281</x:v>
      </x:c>
      <x:c r="E251" s="11" t="n">
        <x:v>46022.5</x:v>
      </x:c>
      <x:c r="F251" s="2" t="n">
        <x:v>76</x:v>
      </x:c>
      <x:c r="G251" s="2" t="n">
        <x:v>166</x:v>
      </x:c>
      <x:c r="H251" s="10" t="n">
        <x:f>IF(F251=0,"无销量",D251*30/F251)</x:f>
        <x:v>110.92105263157895</x:v>
      </x:c>
      <x:c r="I251" s="10" t="n">
        <x:f>IF(G251=0,"无销量",D251*90/G251)</x:f>
        <x:v>152.34939759036143</x:v>
      </x:c>
    </x:row>
    <x:row r="252" ht="27" customHeight="1">
      <x:c r="A252" s="2" t="str">
        <x:v>PROD10243</x:v>
      </x:c>
      <x:c r="B252" s="2" t="str">
        <x:v>Mobile Accessories</x:v>
      </x:c>
      <x:c r="C252" s="2" t="str">
        <x:v>Palla Classic Power Bank</x:v>
      </x:c>
      <x:c r="D252" s="2" t="n">
        <x:v>2429</x:v>
      </x:c>
      <x:c r="E252" s="11" t="n">
        <x:v>46022.5</x:v>
      </x:c>
      <x:c r="F252" s="2" t="n">
        <x:v>4</x:v>
      </x:c>
      <x:c r="G252" s="2" t="n">
        <x:v>5</x:v>
      </x:c>
      <x:c r="H252" s="10" t="n">
        <x:f>IF(F252=0,"无销量",D252*30/F252)</x:f>
        <x:v>18217.5</x:v>
      </x:c>
      <x:c r="I252" s="10" t="n">
        <x:f>IF(G252=0,"无销量",D252*90/G252)</x:f>
        <x:v>43722</x:v>
      </x:c>
    </x:row>
    <x:row r="253" ht="27" customHeight="1">
      <x:c r="A253" s="2" t="str">
        <x:v>PROD10244</x:v>
      </x:c>
      <x:c r="B253" s="2" t="str">
        <x:v>Personal Care</x:v>
      </x:c>
      <x:c r="C253" s="2" t="str">
        <x:v>Virk, Premium Grooming</x:v>
      </x:c>
      <x:c r="D253" s="2" t="n">
        <x:v>2371</x:v>
      </x:c>
      <x:c r="E253" s="11" t="n">
        <x:v>46022.5</x:v>
      </x:c>
      <x:c r="F253" s="2" t="n">
        <x:v>23</x:v>
      </x:c>
      <x:c r="G253" s="2" t="n">
        <x:v>57</x:v>
      </x:c>
      <x:c r="H253" s="10" t="n">
        <x:f>IF(F253=0,"无销量",D253*30/F253)</x:f>
        <x:v>3092.608695652174</x:v>
      </x:c>
      <x:c r="I253" s="10" t="n">
        <x:f>IF(G253=0,"无销量",D253*90/G253)</x:f>
        <x:v>3743.684210526316</x:v>
      </x:c>
    </x:row>
    <x:row r="254" ht="27" customHeight="1">
      <x:c r="A254" s="2" t="str">
        <x:v>PROD10245</x:v>
      </x:c>
      <x:c r="B254" s="2" t="str">
        <x:v>Health &amp; Wellness</x:v>
      </x:c>
      <x:c r="C254" s="2" t="str">
        <x:v>Saraf, Classic Ayurveda</x:v>
      </x:c>
      <x:c r="D254" s="2" t="n">
        <x:v>2139</x:v>
      </x:c>
      <x:c r="E254" s="11" t="n">
        <x:v>46022.5</x:v>
      </x:c>
      <x:c r="F254" s="2" t="n">
        <x:v>13</x:v>
      </x:c>
      <x:c r="G254" s="2" t="n">
        <x:v>40</x:v>
      </x:c>
      <x:c r="H254" s="10" t="n">
        <x:f>IF(F254=0,"无销量",D254*30/F254)</x:f>
        <x:v>4936.153846153846</x:v>
      </x:c>
      <x:c r="I254" s="10" t="n">
        <x:f>IF(G254=0,"无销量",D254*90/G254)</x:f>
        <x:v>4812.75</x:v>
      </x:c>
    </x:row>
    <x:row r="255" ht="27" customHeight="1">
      <x:c r="A255" s="2" t="str">
        <x:v>PROD10246</x:v>
      </x:c>
      <x:c r="B255" s="2" t="str">
        <x:v>Electronics</x:v>
      </x:c>
      <x:c r="C255" s="2" t="str">
        <x:v>Chaudhry, Advanced Smartwatche</x:v>
      </x:c>
      <x:c r="D255" s="2" t="n">
        <x:v>2867</x:v>
      </x:c>
      <x:c r="E255" s="11" t="n">
        <x:v>46022.5</x:v>
      </x:c>
      <x:c r="F255" s="2" t="n">
        <x:v>594</x:v>
      </x:c>
      <x:c r="G255" s="2" t="n">
        <x:v>1523</x:v>
      </x:c>
      <x:c r="H255" s="10" t="n">
        <x:f>IF(F255=0,"无销量",D255*30/F255)</x:f>
        <x:v>144.7979797979798</x:v>
      </x:c>
      <x:c r="I255" s="10" t="n">
        <x:f>IF(G255=0,"无销量",D255*90/G255)</x:f>
        <x:v>169.42219304005252</x:v>
      </x:c>
    </x:row>
    <x:row r="256" ht="27" customHeight="1">
      <x:c r="A256" s="2" t="str">
        <x:v>PROD10247</x:v>
      </x:c>
      <x:c r="B256" s="2" t="str">
        <x:v>Baby Care</x:v>
      </x:c>
      <x:c r="C256" s="2" t="str">
        <x:v>Setty Ultra Baby Food</x:v>
      </x:c>
      <x:c r="D256" s="2" t="n">
        <x:v>2612</x:v>
      </x:c>
      <x:c r="E256" s="11" t="n">
        <x:v>46022.5</x:v>
      </x:c>
      <x:c r="F256" s="2" t="n">
        <x:v>106</x:v>
      </x:c>
      <x:c r="G256" s="2" t="n">
        <x:v>272</x:v>
      </x:c>
      <x:c r="H256" s="10" t="n">
        <x:f>IF(F256=0,"无销量",D256*30/F256)</x:f>
        <x:v>739.2452830188679</x:v>
      </x:c>
      <x:c r="I256" s="10" t="n">
        <x:f>IF(G256=0,"无销量",D256*90/G256)</x:f>
        <x:v>864.2647058823529</x:v>
      </x:c>
    </x:row>
    <x:row r="257" ht="27" customHeight="1">
      <x:c r="A257" s="2" t="str">
        <x:v>PROD10248</x:v>
      </x:c>
      <x:c r="B257" s="2" t="str">
        <x:v>Home &amp; Kitchen</x:v>
      </x:c>
      <x:c r="C257" s="2" t="str">
        <x:v>Salvi Advanced Dinnerware</x:v>
      </x:c>
      <x:c r="D257" s="2" t="n">
        <x:v>2334</x:v>
      </x:c>
      <x:c r="E257" s="11" t="n">
        <x:v>46022.5</x:v>
      </x:c>
      <x:c r="F257" s="2" t="n">
        <x:v>12</x:v>
      </x:c>
      <x:c r="G257" s="2" t="n">
        <x:v>47</x:v>
      </x:c>
      <x:c r="H257" s="10" t="n">
        <x:f>IF(F257=0,"无销量",D257*30/F257)</x:f>
        <x:v>5835</x:v>
      </x:c>
      <x:c r="I257" s="10" t="n">
        <x:f>IF(G257=0,"无销量",D257*90/G257)</x:f>
        <x:v>4469.36170212766</x:v>
      </x:c>
    </x:row>
    <x:row r="258" ht="27" customHeight="1">
      <x:c r="A258" s="2" t="str">
        <x:v>PROD10249</x:v>
      </x:c>
      <x:c r="B258" s="2" t="str">
        <x:v>Electronics</x:v>
      </x:c>
      <x:c r="C258" s="2" t="str">
        <x:v>Nagy, Everyday Headphone</x:v>
      </x:c>
      <x:c r="D258" s="2" t="n">
        <x:v>2092</x:v>
      </x:c>
      <x:c r="E258" s="11" t="n">
        <x:v>46022.5</x:v>
      </x:c>
      <x:c r="F258" s="2" t="n">
        <x:v>22</x:v>
      </x:c>
      <x:c r="G258" s="2" t="n">
        <x:v>39</x:v>
      </x:c>
      <x:c r="H258" s="10" t="n">
        <x:f>IF(F258=0,"无销量",D258*30/F258)</x:f>
        <x:v>2852.7272727272725</x:v>
      </x:c>
      <x:c r="I258" s="10" t="n">
        <x:f>IF(G258=0,"无销量",D258*90/G258)</x:f>
        <x:v>4827.692307692308</x:v>
      </x:c>
    </x:row>
    <x:row r="259" ht="27" customHeight="1">
      <x:c r="A259" s="2" t="str">
        <x:v>PROD10250</x:v>
      </x:c>
      <x:c r="B259" s="2" t="str">
        <x:v>Fashion</x:v>
      </x:c>
      <x:c r="C259" s="2" t="str">
        <x:v>Ray, Basic Women's Western Wear</x:v>
      </x:c>
      <x:c r="D259" s="2" t="n">
        <x:v>793</x:v>
      </x:c>
      <x:c r="E259" s="11" t="n">
        <x:v>46022.5</x:v>
      </x:c>
      <x:c r="F259" s="2" t="n">
        <x:v>43</x:v>
      </x:c>
      <x:c r="G259" s="2" t="n">
        <x:v>70</x:v>
      </x:c>
      <x:c r="H259" s="10" t="n">
        <x:f>IF(F259=0,"无销量",D259*30/F259)</x:f>
        <x:v>553.2558139534884</x:v>
      </x:c>
      <x:c r="I259" s="10" t="n">
        <x:f>IF(G259=0,"无销量",D259*90/G259)</x:f>
        <x:v>1019.5714285714286</x:v>
      </x:c>
    </x:row>
    <x:row r="260" ht="27" customHeight="1">
      <x:c r="A260" s="2" t="str">
        <x:v>PROD10251</x:v>
      </x:c>
      <x:c r="B260" s="2" t="str">
        <x:v>Bags</x:v>
      </x:c>
      <x:c r="C260" s="2" t="str">
        <x:v>Dugar, Essential Travel Bag</x:v>
      </x:c>
      <x:c r="D260" s="2" t="n">
        <x:v>2025</x:v>
      </x:c>
      <x:c r="E260" s="11" t="n">
        <x:v>46022.5</x:v>
      </x:c>
      <x:c r="F260" s="2" t="n">
        <x:v>19</x:v>
      </x:c>
      <x:c r="G260" s="2" t="n">
        <x:v>62</x:v>
      </x:c>
      <x:c r="H260" s="10" t="n">
        <x:f>IF(F260=0,"无销量",D260*30/F260)</x:f>
        <x:v>3197.3684210526317</x:v>
      </x:c>
      <x:c r="I260" s="10" t="n">
        <x:f>IF(G260=0,"无销量",D260*90/G260)</x:f>
        <x:v>2939.516129032258</x:v>
      </x:c>
    </x:row>
    <x:row r="261" ht="27" customHeight="1">
      <x:c r="A261" s="2" t="str">
        <x:v>PROD10252</x:v>
      </x:c>
      <x:c r="B261" s="2" t="str">
        <x:v>Electronics</x:v>
      </x:c>
      <x:c r="C261" s="2" t="str">
        <x:v>Madan-Kanda Deluxe Speaker</x:v>
      </x:c>
      <x:c r="D261" s="2" t="n">
        <x:v>1129</x:v>
      </x:c>
      <x:c r="E261" s="11" t="n">
        <x:v>46022.5</x:v>
      </x:c>
      <x:c r="F261" s="2" t="n">
        <x:v>39</x:v>
      </x:c>
      <x:c r="G261" s="2" t="n">
        <x:v>111</x:v>
      </x:c>
      <x:c r="H261" s="10" t="n">
        <x:f>IF(F261=0,"无销量",D261*30/F261)</x:f>
        <x:v>868.4615384615385</x:v>
      </x:c>
      <x:c r="I261" s="10" t="n">
        <x:f>IF(G261=0,"无销量",D261*90/G261)</x:f>
        <x:v>915.4054054054054</x:v>
      </x:c>
    </x:row>
    <x:row r="262" ht="27" customHeight="1">
      <x:c r="A262" s="2" t="str">
        <x:v>PROD10253</x:v>
      </x:c>
      <x:c r="B262" s="2" t="str">
        <x:v>Books</x:v>
      </x:c>
      <x:c r="C262" s="2" t="str">
        <x:v>Gupta-Chandra Everyday Children's Book</x:v>
      </x:c>
      <x:c r="D262" s="2" t="n">
        <x:v>2781</x:v>
      </x:c>
      <x:c r="E262" s="11" t="n">
        <x:v>46022.5</x:v>
      </x:c>
      <x:c r="F262" s="2" t="n">
        <x:v>48</x:v>
      </x:c>
      <x:c r="G262" s="2" t="n">
        <x:v>128</x:v>
      </x:c>
      <x:c r="H262" s="10" t="n">
        <x:f>IF(F262=0,"无销量",D262*30/F262)</x:f>
        <x:v>1738.125</x:v>
      </x:c>
      <x:c r="I262" s="10" t="n">
        <x:f>IF(G262=0,"无销量",D262*90/G262)</x:f>
        <x:v>1955.390625</x:v>
      </x:c>
    </x:row>
    <x:row r="263" ht="27" customHeight="1">
      <x:c r="A263" s="2" t="str">
        <x:v>PROD10254</x:v>
      </x:c>
      <x:c r="B263" s="2" t="str">
        <x:v>Mobile Accessories</x:v>
      </x:c>
      <x:c r="C263" s="2" t="str">
        <x:v>Mittal, Smart Screen Guard</x:v>
      </x:c>
      <x:c r="D263" s="2" t="n">
        <x:v>692</x:v>
      </x:c>
      <x:c r="E263" s="11" t="n">
        <x:v>46022.5</x:v>
      </x:c>
      <x:c r="F263" s="2" t="n">
        <x:v>66</x:v>
      </x:c>
      <x:c r="G263" s="2" t="n">
        <x:v>135</x:v>
      </x:c>
      <x:c r="H263" s="10" t="n">
        <x:f>IF(F263=0,"无销量",D263*30/F263)</x:f>
        <x:v>314.54545454545456</x:v>
      </x:c>
      <x:c r="I263" s="10" t="n">
        <x:f>IF(G263=0,"无销量",D263*90/G263)</x:f>
        <x:v>461.3333333333333</x:v>
      </x:c>
    </x:row>
    <x:row r="264" ht="27" customHeight="1">
      <x:c r="A264" s="2" t="str">
        <x:v>PROD10255</x:v>
      </x:c>
      <x:c r="B264" s="2" t="str">
        <x:v>Sports</x:v>
      </x:c>
      <x:c r="C264" s="2" t="str">
        <x:v>Vaidya-D’Alia Smart Fitness Equipment</x:v>
      </x:c>
      <x:c r="D264" s="2" t="n">
        <x:v>1527</x:v>
      </x:c>
      <x:c r="E264" s="11" t="n">
        <x:v>46022.5</x:v>
      </x:c>
      <x:c r="F264" s="2" t="n">
        <x:v>286</x:v>
      </x:c>
      <x:c r="G264" s="2" t="n">
        <x:v>684</x:v>
      </x:c>
      <x:c r="H264" s="10" t="n">
        <x:f>IF(F264=0,"无销量",D264*30/F264)</x:f>
        <x:v>160.17482517482517</x:v>
      </x:c>
      <x:c r="I264" s="10" t="n">
        <x:f>IF(G264=0,"无销量",D264*90/G264)</x:f>
        <x:v>200.92105263157896</x:v>
      </x:c>
    </x:row>
    <x:row r="265" ht="27" customHeight="1">
      <x:c r="A265" s="2" t="str">
        <x:v>PROD10256</x:v>
      </x:c>
      <x:c r="B265" s="2" t="str">
        <x:v>Electronics</x:v>
      </x:c>
      <x:c r="C265" s="2" t="str">
        <x:v>Lanka, Essential Laptop</x:v>
      </x:c>
      <x:c r="D265" s="2" t="n">
        <x:v>2457</x:v>
      </x:c>
      <x:c r="E265" s="11" t="n">
        <x:v>46022.5</x:v>
      </x:c>
      <x:c r="F265" s="2" t="n">
        <x:v>7</x:v>
      </x:c>
      <x:c r="G265" s="2" t="n">
        <x:v>35</x:v>
      </x:c>
      <x:c r="H265" s="10" t="n">
        <x:f>IF(F265=0,"无销量",D265*30/F265)</x:f>
        <x:v>10530</x:v>
      </x:c>
      <x:c r="I265" s="10" t="n">
        <x:f>IF(G265=0,"无销量",D265*90/G265)</x:f>
        <x:v>6318</x:v>
      </x:c>
    </x:row>
    <x:row r="266" ht="27" customHeight="1">
      <x:c r="A266" s="2" t="str">
        <x:v>PROD10257</x:v>
      </x:c>
      <x:c r="B266" s="2" t="str">
        <x:v>Electronics</x:v>
      </x:c>
      <x:c r="C266" s="2" t="str">
        <x:v>Nori-Chopra Smart Headphone</x:v>
      </x:c>
      <x:c r="D266" s="2" t="n">
        <x:v>125</x:v>
      </x:c>
      <x:c r="E266" s="11" t="n">
        <x:v>46022.5</x:v>
      </x:c>
      <x:c r="F266" s="2" t="n">
        <x:v>21</x:v>
      </x:c>
      <x:c r="G266" s="2" t="n">
        <x:v>46</x:v>
      </x:c>
      <x:c r="H266" s="10" t="n">
        <x:f>IF(F266=0,"无销量",D266*30/F266)</x:f>
        <x:v>178.57142857142858</x:v>
      </x:c>
      <x:c r="I266" s="10" t="n">
        <x:f>IF(G266=0,"无销量",D266*90/G266)</x:f>
        <x:v>244.56521739130434</x:v>
      </x:c>
    </x:row>
    <x:row r="267" ht="27" customHeight="1">
      <x:c r="A267" s="2" t="str">
        <x:v>PROD10258</x:v>
      </x:c>
      <x:c r="B267" s="2" t="str">
        <x:v>Personal Care</x:v>
      </x:c>
      <x:c r="C267" s="2" t="str">
        <x:v>Wali-Nadig Basic Bath &amp; Body</x:v>
      </x:c>
      <x:c r="D267" s="2" t="n">
        <x:v>648</x:v>
      </x:c>
      <x:c r="E267" s="11" t="n">
        <x:v>46022.5</x:v>
      </x:c>
      <x:c r="F267" s="2" t="n">
        <x:v>218</x:v>
      </x:c>
      <x:c r="G267" s="2" t="n">
        <x:v>535</x:v>
      </x:c>
      <x:c r="H267" s="10" t="n">
        <x:f>IF(F267=0,"无销量",D267*30/F267)</x:f>
        <x:v>89.1743119266055</x:v>
      </x:c>
      <x:c r="I267" s="10" t="n">
        <x:f>IF(G267=0,"无销量",D267*90/G267)</x:f>
        <x:v>109.00934579439253</x:v>
      </x:c>
    </x:row>
    <x:row r="268" ht="27" customHeight="1">
      <x:c r="A268" s="2" t="str">
        <x:v>PROD10259</x:v>
      </x:c>
      <x:c r="B268" s="2" t="str">
        <x:v>Home &amp; Kitchen</x:v>
      </x:c>
      <x:c r="C268" s="2" t="str">
        <x:v>Kar-Issac Premium Storage &amp; Container</x:v>
      </x:c>
      <x:c r="D268" s="2" t="n">
        <x:v>800</x:v>
      </x:c>
      <x:c r="E268" s="11" t="n">
        <x:v>46022.5</x:v>
      </x:c>
      <x:c r="F268" s="2" t="n">
        <x:v>18</x:v>
      </x:c>
      <x:c r="G268" s="2" t="n">
        <x:v>42</x:v>
      </x:c>
      <x:c r="H268" s="10" t="n">
        <x:f>IF(F268=0,"无销量",D268*30/F268)</x:f>
        <x:v>1333.3333333333333</x:v>
      </x:c>
      <x:c r="I268" s="10" t="n">
        <x:f>IF(G268=0,"无销量",D268*90/G268)</x:f>
        <x:v>1714.2857142857142</x:v>
      </x:c>
    </x:row>
    <x:row r="269" ht="27" customHeight="1">
      <x:c r="A269" s="2" t="str">
        <x:v>PROD10260</x:v>
      </x:c>
      <x:c r="B269" s="2" t="str">
        <x:v>Home &amp; Kitchen</x:v>
      </x:c>
      <x:c r="C269" s="2" t="str">
        <x:v>Sunder, Classic Bedding</x:v>
      </x:c>
      <x:c r="D269" s="2" t="n">
        <x:v>285</x:v>
      </x:c>
      <x:c r="E269" s="11" t="n">
        <x:v>46022.5</x:v>
      </x:c>
      <x:c r="F269" s="2" t="n">
        <x:v>10</x:v>
      </x:c>
      <x:c r="G269" s="2" t="n">
        <x:v>36</x:v>
      </x:c>
      <x:c r="H269" s="10" t="n">
        <x:f>IF(F269=0,"无销量",D269*30/F269)</x:f>
        <x:v>855</x:v>
      </x:c>
      <x:c r="I269" s="10" t="n">
        <x:f>IF(G269=0,"无销量",D269*90/G269)</x:f>
        <x:v>712.5</x:v>
      </x:c>
    </x:row>
    <x:row r="270" ht="27" customHeight="1">
      <x:c r="A270" s="2" t="str">
        <x:v>PROD10261</x:v>
      </x:c>
      <x:c r="B270" s="2" t="str">
        <x:v>Stationery</x:v>
      </x:c>
      <x:c r="C270" s="2" t="str">
        <x:v>Lala, Everyday Pens &amp; Pencil</x:v>
      </x:c>
      <x:c r="D270" s="2" t="n">
        <x:v>1811</x:v>
      </x:c>
      <x:c r="E270" s="11" t="n">
        <x:v>46022.5</x:v>
      </x:c>
      <x:c r="F270" s="2" t="n">
        <x:v>53</x:v>
      </x:c>
      <x:c r="G270" s="2" t="n">
        <x:v>133</x:v>
      </x:c>
      <x:c r="H270" s="10" t="n">
        <x:f>IF(F270=0,"无销量",D270*30/F270)</x:f>
        <x:v>1025.0943396226414</x:v>
      </x:c>
      <x:c r="I270" s="10" t="n">
        <x:f>IF(G270=0,"无销量",D270*90/G270)</x:f>
        <x:v>1225.4887218045112</x:v>
      </x:c>
    </x:row>
    <x:row r="271" ht="27" customHeight="1">
      <x:c r="A271" s="2" t="str">
        <x:v>PROD10262</x:v>
      </x:c>
      <x:c r="B271" s="2" t="str">
        <x:v>Toys</x:v>
      </x:c>
      <x:c r="C271" s="2" t="str">
        <x:v>Boase-Mallick Advanced Action Figure</x:v>
      </x:c>
      <x:c r="D271" s="2" t="n">
        <x:v>961</x:v>
      </x:c>
      <x:c r="E271" s="11" t="n">
        <x:v>46022.5</x:v>
      </x:c>
      <x:c r="F271" s="2" t="n">
        <x:v>47</x:v>
      </x:c>
      <x:c r="G271" s="2" t="n">
        <x:v>129</x:v>
      </x:c>
      <x:c r="H271" s="10" t="n">
        <x:f>IF(F271=0,"无销量",D271*30/F271)</x:f>
        <x:v>613.4042553191489</x:v>
      </x:c>
      <x:c r="I271" s="10" t="n">
        <x:f>IF(G271=0,"无销量",D271*90/G271)</x:f>
        <x:v>670.4651162790698</x:v>
      </x:c>
    </x:row>
    <x:row r="272" ht="27" customHeight="1">
      <x:c r="A272" s="2" t="str">
        <x:v>PROD10263</x:v>
      </x:c>
      <x:c r="B272" s="2" t="str">
        <x:v>Bags</x:v>
      </x:c>
      <x:c r="C272" s="2" t="str">
        <x:v>Sabharwal-Kothari Premium Wallet</x:v>
      </x:c>
      <x:c r="D272" s="2" t="n">
        <x:v>1569</x:v>
      </x:c>
      <x:c r="E272" s="11" t="n">
        <x:v>46022.5</x:v>
      </x:c>
      <x:c r="F272" s="2" t="n">
        <x:v>21</x:v>
      </x:c>
      <x:c r="G272" s="2" t="n">
        <x:v>62</x:v>
      </x:c>
      <x:c r="H272" s="10" t="n">
        <x:f>IF(F272=0,"无销量",D272*30/F272)</x:f>
        <x:v>2241.4285714285716</x:v>
      </x:c>
      <x:c r="I272" s="10" t="n">
        <x:f>IF(G272=0,"无销量",D272*90/G272)</x:f>
        <x:v>2277.5806451612902</x:v>
      </x:c>
    </x:row>
    <x:row r="273" ht="27" customHeight="1">
      <x:c r="A273" s="2" t="str">
        <x:v>PROD10264</x:v>
      </x:c>
      <x:c r="B273" s="2" t="str">
        <x:v>Pet Supplies</x:v>
      </x:c>
      <x:c r="C273" s="2" t="str">
        <x:v>Gala Essential Pet Food</x:v>
      </x:c>
      <x:c r="D273" s="2" t="n">
        <x:v>1286</x:v>
      </x:c>
      <x:c r="E273" s="11" t="n">
        <x:v>46022.5</x:v>
      </x:c>
      <x:c r="F273" s="2" t="n">
        <x:v>38</x:v>
      </x:c>
      <x:c r="G273" s="2" t="n">
        <x:v>102</x:v>
      </x:c>
      <x:c r="H273" s="10" t="n">
        <x:f>IF(F273=0,"无销量",D273*30/F273)</x:f>
        <x:v>1015.2631578947369</x:v>
      </x:c>
      <x:c r="I273" s="10" t="n">
        <x:f>IF(G273=0,"无销量",D273*90/G273)</x:f>
        <x:v>1134.7058823529412</x:v>
      </x:c>
    </x:row>
    <x:row r="274" ht="27" customHeight="1">
      <x:c r="A274" s="2" t="str">
        <x:v>PROD10265</x:v>
      </x:c>
      <x:c r="B274" s="2" t="str">
        <x:v>Footwear</x:v>
      </x:c>
      <x:c r="C274" s="2" t="str">
        <x:v>Gupta-Chandra Deluxe Sandals &amp; Flip Flop</x:v>
      </x:c>
      <x:c r="D274" s="2" t="n">
        <x:v>1996</x:v>
      </x:c>
      <x:c r="E274" s="11" t="n">
        <x:v>46022.5</x:v>
      </x:c>
      <x:c r="F274" s="2" t="n">
        <x:v>8</x:v>
      </x:c>
      <x:c r="G274" s="2" t="n">
        <x:v>25</x:v>
      </x:c>
      <x:c r="H274" s="10" t="n">
        <x:f>IF(F274=0,"无销量",D274*30/F274)</x:f>
        <x:v>7485</x:v>
      </x:c>
      <x:c r="I274" s="10" t="n">
        <x:f>IF(G274=0,"无销量",D274*90/G274)</x:f>
        <x:v>7185.6</x:v>
      </x:c>
    </x:row>
    <x:row r="275" ht="27" customHeight="1">
      <x:c r="A275" s="2" t="str">
        <x:v>PROD10266</x:v>
      </x:c>
      <x:c r="B275" s="2" t="str">
        <x:v>Grocery</x:v>
      </x:c>
      <x:c r="C275" s="2" t="str">
        <x:v>Palla Everyday Packaged Food</x:v>
      </x:c>
      <x:c r="D275" s="2" t="n">
        <x:v>93</x:v>
      </x:c>
      <x:c r="E275" s="11" t="n">
        <x:v>46022.5</x:v>
      </x:c>
      <x:c r="F275" s="2" t="n">
        <x:v>82</x:v>
      </x:c>
      <x:c r="G275" s="2" t="n">
        <x:v>192</x:v>
      </x:c>
      <x:c r="H275" s="10" t="n">
        <x:f>IF(F275=0,"无销量",D275*30/F275)</x:f>
        <x:v>34.02439024390244</x:v>
      </x:c>
      <x:c r="I275" s="10" t="n">
        <x:f>IF(G275=0,"无销量",D275*90/G275)</x:f>
        <x:v>43.59375</x:v>
      </x:c>
    </x:row>
    <x:row r="276" ht="27" customHeight="1">
      <x:c r="A276" s="2" t="str">
        <x:v>PROD10267</x:v>
      </x:c>
      <x:c r="B276" s="2" t="str">
        <x:v>Stationery</x:v>
      </x:c>
      <x:c r="C276" s="2" t="str">
        <x:v>Morar Basic Art Supplie</x:v>
      </x:c>
      <x:c r="D276" s="2" t="n">
        <x:v>712</x:v>
      </x:c>
      <x:c r="E276" s="11" t="n">
        <x:v>46022.5</x:v>
      </x:c>
      <x:c r="F276" s="2" t="n">
        <x:v>109</x:v>
      </x:c>
      <x:c r="G276" s="2" t="n">
        <x:v>288</x:v>
      </x:c>
      <x:c r="H276" s="10" t="n">
        <x:f>IF(F276=0,"无销量",D276*30/F276)</x:f>
        <x:v>195.96330275229357</x:v>
      </x:c>
      <x:c r="I276" s="10" t="n">
        <x:f>IF(G276=0,"无销量",D276*90/G276)</x:f>
        <x:v>222.5</x:v>
      </x:c>
    </x:row>
    <x:row r="277" ht="27" customHeight="1">
      <x:c r="A277" s="2" t="str">
        <x:v>PROD10268</x:v>
      </x:c>
      <x:c r="B277" s="2" t="str">
        <x:v>Mobile Accessories</x:v>
      </x:c>
      <x:c r="C277" s="2" t="str">
        <x:v>Bir, Smart Screen Guard</x:v>
      </x:c>
      <x:c r="D277" s="2" t="n">
        <x:v>1200</x:v>
      </x:c>
      <x:c r="E277" s="11" t="n">
        <x:v>46022.5</x:v>
      </x:c>
      <x:c r="F277" s="2" t="n">
        <x:v>64</x:v>
      </x:c>
      <x:c r="G277" s="2" t="n">
        <x:v>171</x:v>
      </x:c>
      <x:c r="H277" s="10" t="n">
        <x:f>IF(F277=0,"无销量",D277*30/F277)</x:f>
        <x:v>562.5</x:v>
      </x:c>
      <x:c r="I277" s="10" t="n">
        <x:f>IF(G277=0,"无销量",D277*90/G277)</x:f>
        <x:v>631.578947368421</x:v>
      </x:c>
    </x:row>
    <x:row r="278" ht="27" customHeight="1">
      <x:c r="A278" s="2" t="str">
        <x:v>PROD10269</x:v>
      </x:c>
      <x:c r="B278" s="2" t="str">
        <x:v>Personal Care</x:v>
      </x:c>
      <x:c r="C278" s="2" t="str">
        <x:v>Barad-Singhal Deluxe Grooming</x:v>
      </x:c>
      <x:c r="D278" s="2" t="n">
        <x:v>1153</x:v>
      </x:c>
      <x:c r="E278" s="11" t="n">
        <x:v>46022.5</x:v>
      </x:c>
      <x:c r="F278" s="2" t="n">
        <x:v>177</x:v>
      </x:c>
      <x:c r="G278" s="2" t="n">
        <x:v>468</x:v>
      </x:c>
      <x:c r="H278" s="10" t="n">
        <x:f>IF(F278=0,"无销量",D278*30/F278)</x:f>
        <x:v>195.42372881355934</x:v>
      </x:c>
      <x:c r="I278" s="10" t="n">
        <x:f>IF(G278=0,"无销量",D278*90/G278)</x:f>
        <x:v>221.73076923076923</x:v>
      </x:c>
    </x:row>
    <x:row r="279" ht="27" customHeight="1">
      <x:c r="A279" s="2" t="str">
        <x:v>PROD10270</x:v>
      </x:c>
      <x:c r="B279" s="2" t="str">
        <x:v>Sports</x:v>
      </x:c>
      <x:c r="C279" s="2" t="str">
        <x:v>Roy-Sibal Essential Yoga</x:v>
      </x:c>
      <x:c r="D279" s="2" t="n">
        <x:v>2850</x:v>
      </x:c>
      <x:c r="E279" s="11" t="n">
        <x:v>46022.5</x:v>
      </x:c>
      <x:c r="F279" s="2" t="n">
        <x:v>15</x:v>
      </x:c>
      <x:c r="G279" s="2" t="n">
        <x:v>48</x:v>
      </x:c>
      <x:c r="H279" s="10" t="n">
        <x:f>IF(F279=0,"无销量",D279*30/F279)</x:f>
        <x:v>5700</x:v>
      </x:c>
      <x:c r="I279" s="10" t="n">
        <x:f>IF(G279=0,"无销量",D279*90/G279)</x:f>
        <x:v>5343.75</x:v>
      </x:c>
    </x:row>
    <x:row r="280" ht="27" customHeight="1">
      <x:c r="A280" s="2" t="str">
        <x:v>PROD10271</x:v>
      </x:c>
      <x:c r="B280" s="2" t="str">
        <x:v>Grocery</x:v>
      </x:c>
      <x:c r="C280" s="2" t="str">
        <x:v>Dave Smart Staple</x:v>
      </x:c>
      <x:c r="D280" s="2" t="n">
        <x:v>2049</x:v>
      </x:c>
      <x:c r="E280" s="11" t="n">
        <x:v>46022.5</x:v>
      </x:c>
      <x:c r="F280" s="2" t="n">
        <x:v>43</x:v>
      </x:c>
      <x:c r="G280" s="2" t="n">
        <x:v>87</x:v>
      </x:c>
      <x:c r="H280" s="10" t="n">
        <x:f>IF(F280=0,"无销量",D280*30/F280)</x:f>
        <x:v>1429.5348837209303</x:v>
      </x:c>
      <x:c r="I280" s="10" t="n">
        <x:f>IF(G280=0,"无销量",D280*90/G280)</x:f>
        <x:v>2119.655172413793</x:v>
      </x:c>
    </x:row>
    <x:row r="281" ht="27" customHeight="1">
      <x:c r="A281" s="2" t="str">
        <x:v>PROD10272</x:v>
      </x:c>
      <x:c r="B281" s="2" t="str">
        <x:v>Personal Care</x:v>
      </x:c>
      <x:c r="C281" s="2" t="str">
        <x:v>Nagy, Basic Oral Care</x:v>
      </x:c>
      <x:c r="D281" s="2" t="n">
        <x:v>130</x:v>
      </x:c>
      <x:c r="E281" s="11" t="n">
        <x:v>46022.5</x:v>
      </x:c>
      <x:c r="F281" s="2" t="n">
        <x:v>60</x:v>
      </x:c>
      <x:c r="G281" s="2" t="n">
        <x:v>200</x:v>
      </x:c>
      <x:c r="H281" s="10" t="n">
        <x:f>IF(F281=0,"无销量",D281*30/F281)</x:f>
        <x:v>65</x:v>
      </x:c>
      <x:c r="I281" s="10" t="n">
        <x:f>IF(G281=0,"无销量",D281*90/G281)</x:f>
        <x:v>58.5</x:v>
      </x:c>
    </x:row>
    <x:row r="282" ht="27" customHeight="1">
      <x:c r="A282" s="2" t="str">
        <x:v>PROD10273</x:v>
      </x:c>
      <x:c r="B282" s="2" t="str">
        <x:v>Appliances</x:v>
      </x:c>
      <x:c r="C282" s="2" t="str">
        <x:v>Dave Essential Large Appliance</x:v>
      </x:c>
      <x:c r="D282" s="2" t="n">
        <x:v>2606</x:v>
      </x:c>
      <x:c r="E282" s="11" t="n">
        <x:v>46022.5</x:v>
      </x:c>
      <x:c r="F282" s="2" t="n">
        <x:v>15</x:v>
      </x:c>
      <x:c r="G282" s="2" t="n">
        <x:v>48</x:v>
      </x:c>
      <x:c r="H282" s="10" t="n">
        <x:f>IF(F282=0,"无销量",D282*30/F282)</x:f>
        <x:v>5212</x:v>
      </x:c>
      <x:c r="I282" s="10" t="n">
        <x:f>IF(G282=0,"无销量",D282*90/G282)</x:f>
        <x:v>4886.25</x:v>
      </x:c>
    </x:row>
    <x:row r="283" ht="27" customHeight="1">
      <x:c r="A283" s="2" t="str">
        <x:v>PROD10274</x:v>
      </x:c>
      <x:c r="B283" s="2" t="str">
        <x:v>Footwear</x:v>
      </x:c>
      <x:c r="C283" s="2" t="str">
        <x:v>Borra Basic Sandals &amp; Flip Flop</x:v>
      </x:c>
      <x:c r="D283" s="2" t="n">
        <x:v>1732</x:v>
      </x:c>
      <x:c r="E283" s="11" t="n">
        <x:v>46022.5</x:v>
      </x:c>
      <x:c r="F283" s="2" t="n">
        <x:v>0</x:v>
      </x:c>
      <x:c r="G283" s="2" t="n">
        <x:v>7</x:v>
      </x:c>
      <x:c r="H283" s="10" t="str">
        <x:f>IF(F283=0,"无销量",D283*30/F283)</x:f>
        <x:v>无销量</x:v>
      </x:c>
      <x:c r="I283" s="10" t="n">
        <x:f>IF(G283=0,"无销量",D283*90/G283)</x:f>
        <x:v>22268.571428571428</x:v>
      </x:c>
    </x:row>
    <x:row r="284" ht="27" customHeight="1">
      <x:c r="A284" s="2" t="str">
        <x:v>PROD10275</x:v>
      </x:c>
      <x:c r="B284" s="2" t="str">
        <x:v>Home &amp; Kitchen</x:v>
      </x:c>
      <x:c r="C284" s="2" t="str">
        <x:v>Ghosh-Mitra Signature Bedding</x:v>
      </x:c>
      <x:c r="D284" s="2" t="n">
        <x:v>1870</x:v>
      </x:c>
      <x:c r="E284" s="11" t="n">
        <x:v>46022.5</x:v>
      </x:c>
      <x:c r="F284" s="2" t="n">
        <x:v>11</x:v>
      </x:c>
      <x:c r="G284" s="2" t="n">
        <x:v>13</x:v>
      </x:c>
      <x:c r="H284" s="10" t="n">
        <x:f>IF(F284=0,"无销量",D284*30/F284)</x:f>
        <x:v>5100</x:v>
      </x:c>
      <x:c r="I284" s="10" t="n">
        <x:f>IF(G284=0,"无销量",D284*90/G284)</x:f>
        <x:v>12946.153846153846</x:v>
      </x:c>
    </x:row>
    <x:row r="285" ht="27" customHeight="1">
      <x:c r="A285" s="2" t="str">
        <x:v>PROD10276</x:v>
      </x:c>
      <x:c r="B285" s="2" t="str">
        <x:v>Health &amp; Wellness</x:v>
      </x:c>
      <x:c r="C285" s="2" t="str">
        <x:v>Bhatti-Kakar Essential Ayurveda</x:v>
      </x:c>
      <x:c r="D285" s="2" t="n">
        <x:v>1780</x:v>
      </x:c>
      <x:c r="E285" s="11" t="n">
        <x:v>46022.5</x:v>
      </x:c>
      <x:c r="F285" s="2" t="n">
        <x:v>0</x:v>
      </x:c>
      <x:c r="G285" s="2" t="n">
        <x:v>6</x:v>
      </x:c>
      <x:c r="H285" s="10" t="str">
        <x:f>IF(F285=0,"无销量",D285*30/F285)</x:f>
        <x:v>无销量</x:v>
      </x:c>
      <x:c r="I285" s="10" t="n">
        <x:f>IF(G285=0,"无销量",D285*90/G285)</x:f>
        <x:v>26700</x:v>
      </x:c>
    </x:row>
    <x:row r="286" ht="27" customHeight="1">
      <x:c r="A286" s="2" t="str">
        <x:v>PROD10277</x:v>
      </x:c>
      <x:c r="B286" s="2" t="str">
        <x:v>Appliances</x:v>
      </x:c>
      <x:c r="C286" s="2" t="str">
        <x:v>Bhargava, Smart Air Conditioner</x:v>
      </x:c>
      <x:c r="D286" s="2" t="n">
        <x:v>11</x:v>
      </x:c>
      <x:c r="E286" s="11" t="n">
        <x:v>46022.5</x:v>
      </x:c>
      <x:c r="F286" s="2" t="n">
        <x:v>8</x:v>
      </x:c>
      <x:c r="G286" s="2" t="n">
        <x:v>12</x:v>
      </x:c>
      <x:c r="H286" s="10" t="n">
        <x:f>IF(F286=0,"无销量",D286*30/F286)</x:f>
        <x:v>41.25</x:v>
      </x:c>
      <x:c r="I286" s="10" t="n">
        <x:f>IF(G286=0,"无销量",D286*90/G286)</x:f>
        <x:v>82.5</x:v>
      </x:c>
    </x:row>
    <x:row r="287" ht="27" customHeight="1">
      <x:c r="A287" s="2" t="str">
        <x:v>PROD10278</x:v>
      </x:c>
      <x:c r="B287" s="2" t="str">
        <x:v>Grocery</x:v>
      </x:c>
      <x:c r="C287" s="2" t="str">
        <x:v>Mangal-Sampath Premium Snack</x:v>
      </x:c>
      <x:c r="D287" s="2" t="n">
        <x:v>425</x:v>
      </x:c>
      <x:c r="E287" s="11" t="n">
        <x:v>46022.5</x:v>
      </x:c>
      <x:c r="F287" s="2" t="n">
        <x:v>14</x:v>
      </x:c>
      <x:c r="G287" s="2" t="n">
        <x:v>37</x:v>
      </x:c>
      <x:c r="H287" s="10" t="n">
        <x:f>IF(F287=0,"无销量",D287*30/F287)</x:f>
        <x:v>910.7142857142857</x:v>
      </x:c>
      <x:c r="I287" s="10" t="n">
        <x:f>IF(G287=0,"无销量",D287*90/G287)</x:f>
        <x:v>1033.7837837837837</x:v>
      </x:c>
    </x:row>
    <x:row r="288" ht="27" customHeight="1">
      <x:c r="A288" s="2" t="str">
        <x:v>PROD10279</x:v>
      </x:c>
      <x:c r="B288" s="2" t="str">
        <x:v>Personal Care</x:v>
      </x:c>
      <x:c r="C288" s="2" t="str">
        <x:v>Kade-Sani Pro Grooming</x:v>
      </x:c>
      <x:c r="D288" s="2" t="n">
        <x:v>1416</x:v>
      </x:c>
      <x:c r="E288" s="11" t="n">
        <x:v>46022.5</x:v>
      </x:c>
      <x:c r="F288" s="2" t="n">
        <x:v>121</x:v>
      </x:c>
      <x:c r="G288" s="2" t="n">
        <x:v>288</x:v>
      </x:c>
      <x:c r="H288" s="10" t="n">
        <x:f>IF(F288=0,"无销量",D288*30/F288)</x:f>
        <x:v>351.07438016528926</x:v>
      </x:c>
      <x:c r="I288" s="10" t="n">
        <x:f>IF(G288=0,"无销量",D288*90/G288)</x:f>
        <x:v>442.5</x:v>
      </x:c>
    </x:row>
    <x:row r="289" ht="27" customHeight="1">
      <x:c r="A289" s="2" t="str">
        <x:v>PROD10280</x:v>
      </x:c>
      <x:c r="B289" s="2" t="str">
        <x:v>Health &amp; Wellness</x:v>
      </x:c>
      <x:c r="C289" s="2" t="str">
        <x:v>Parmer Premium Ayurveda</x:v>
      </x:c>
      <x:c r="D289" s="2" t="n">
        <x:v>2930</x:v>
      </x:c>
      <x:c r="E289" s="11" t="n">
        <x:v>46022.5</x:v>
      </x:c>
      <x:c r="F289" s="2" t="n">
        <x:v>83</x:v>
      </x:c>
      <x:c r="G289" s="2" t="n">
        <x:v>260</x:v>
      </x:c>
      <x:c r="H289" s="10" t="n">
        <x:f>IF(F289=0,"无销量",D289*30/F289)</x:f>
        <x:v>1059.0361445783133</x:v>
      </x:c>
      <x:c r="I289" s="10" t="n">
        <x:f>IF(G289=0,"无销量",D289*90/G289)</x:f>
        <x:v>1014.2307692307693</x:v>
      </x:c>
    </x:row>
    <x:row r="290" ht="27" customHeight="1">
      <x:c r="A290" s="2" t="str">
        <x:v>PROD10281</x:v>
      </x:c>
      <x:c r="B290" s="2" t="str">
        <x:v>Fashion</x:v>
      </x:c>
      <x:c r="C290" s="2" t="str">
        <x:v>Kala-Rattan Basic Kids Wear</x:v>
      </x:c>
      <x:c r="D290" s="2" t="n">
        <x:v>1500</x:v>
      </x:c>
      <x:c r="E290" s="11" t="n">
        <x:v>46022.5</x:v>
      </x:c>
      <x:c r="F290" s="2" t="n">
        <x:v>45</x:v>
      </x:c>
      <x:c r="G290" s="2" t="n">
        <x:v>162</x:v>
      </x:c>
      <x:c r="H290" s="10" t="n">
        <x:f>IF(F290=0,"无销量",D290*30/F290)</x:f>
        <x:v>1000</x:v>
      </x:c>
      <x:c r="I290" s="10" t="n">
        <x:f>IF(G290=0,"无销量",D290*90/G290)</x:f>
        <x:v>833.3333333333334</x:v>
      </x:c>
    </x:row>
    <x:row r="291" ht="27" customHeight="1">
      <x:c r="A291" s="2" t="str">
        <x:v>PROD10282</x:v>
      </x:c>
      <x:c r="B291" s="2" t="str">
        <x:v>Home &amp; Kitchen</x:v>
      </x:c>
      <x:c r="C291" s="2" t="str">
        <x:v>Saraf, Classic Dinnerware</x:v>
      </x:c>
      <x:c r="D291" s="2" t="n">
        <x:v>1028</x:v>
      </x:c>
      <x:c r="E291" s="11" t="n">
        <x:v>46022.5</x:v>
      </x:c>
      <x:c r="F291" s="2" t="n">
        <x:v>48</x:v>
      </x:c>
      <x:c r="G291" s="2" t="n">
        <x:v>102</x:v>
      </x:c>
      <x:c r="H291" s="10" t="n">
        <x:f>IF(F291=0,"无销量",D291*30/F291)</x:f>
        <x:v>642.5</x:v>
      </x:c>
      <x:c r="I291" s="10" t="n">
        <x:f>IF(G291=0,"无销量",D291*90/G291)</x:f>
        <x:v>907.0588235294117</x:v>
      </x:c>
    </x:row>
    <x:row r="292" ht="27" customHeight="1">
      <x:c r="A292" s="2" t="str">
        <x:v>PROD10283</x:v>
      </x:c>
      <x:c r="B292" s="2" t="str">
        <x:v>Beauty</x:v>
      </x:c>
      <x:c r="C292" s="2" t="str">
        <x:v>Hayer, Deluxe Skincare</x:v>
      </x:c>
      <x:c r="D292" s="2" t="n">
        <x:v>593</x:v>
      </x:c>
      <x:c r="E292" s="11" t="n">
        <x:v>46022.5</x:v>
      </x:c>
      <x:c r="F292" s="2" t="n">
        <x:v>14</x:v>
      </x:c>
      <x:c r="G292" s="2" t="n">
        <x:v>25</x:v>
      </x:c>
      <x:c r="H292" s="10" t="n">
        <x:f>IF(F292=0,"无销量",D292*30/F292)</x:f>
        <x:v>1270.7142857142858</x:v>
      </x:c>
      <x:c r="I292" s="10" t="n">
        <x:f>IF(G292=0,"无销量",D292*90/G292)</x:f>
        <x:v>2134.8</x:v>
      </x:c>
    </x:row>
    <x:row r="293" ht="27" customHeight="1">
      <x:c r="A293" s="2" t="str">
        <x:v>PROD10284</x:v>
      </x:c>
      <x:c r="B293" s="2" t="str">
        <x:v>Footwear</x:v>
      </x:c>
      <x:c r="C293" s="2" t="str">
        <x:v>Upadhyay-Ratta Everyday Sandals &amp; Flip Flop</x:v>
      </x:c>
      <x:c r="D293" s="2" t="n">
        <x:v>1283</x:v>
      </x:c>
      <x:c r="E293" s="11" t="n">
        <x:v>46022.5</x:v>
      </x:c>
      <x:c r="F293" s="2" t="n">
        <x:v>10</x:v>
      </x:c>
      <x:c r="G293" s="2" t="n">
        <x:v>26</x:v>
      </x:c>
      <x:c r="H293" s="10" t="n">
        <x:f>IF(F293=0,"无销量",D293*30/F293)</x:f>
        <x:v>3849</x:v>
      </x:c>
      <x:c r="I293" s="10" t="n">
        <x:f>IF(G293=0,"无销量",D293*90/G293)</x:f>
        <x:v>4441.153846153846</x:v>
      </x:c>
    </x:row>
    <x:row r="294" ht="27" customHeight="1">
      <x:c r="A294" s="2" t="str">
        <x:v>PROD10285</x:v>
      </x:c>
      <x:c r="B294" s="2" t="str">
        <x:v>Fashion</x:v>
      </x:c>
      <x:c r="C294" s="2" t="str">
        <x:v>Brar Premium Men's Bottomwear</x:v>
      </x:c>
      <x:c r="D294" s="2" t="n">
        <x:v>1990</x:v>
      </x:c>
      <x:c r="E294" s="11" t="n">
        <x:v>46022.5</x:v>
      </x:c>
      <x:c r="F294" s="2" t="n">
        <x:v>35</x:v>
      </x:c>
      <x:c r="G294" s="2" t="n">
        <x:v>77</x:v>
      </x:c>
      <x:c r="H294" s="10" t="n">
        <x:f>IF(F294=0,"无销量",D294*30/F294)</x:f>
        <x:v>1705.7142857142858</x:v>
      </x:c>
      <x:c r="I294" s="10" t="n">
        <x:f>IF(G294=0,"无销量",D294*90/G294)</x:f>
        <x:v>2325.974025974026</x:v>
      </x:c>
    </x:row>
    <x:row r="295" ht="27" customHeight="1">
      <x:c r="A295" s="2" t="str">
        <x:v>PROD10286</x:v>
      </x:c>
      <x:c r="B295" s="2" t="str">
        <x:v>Fashion</x:v>
      </x:c>
      <x:c r="C295" s="2" t="str">
        <x:v>Upadhyay-Ratta Classic Men's Bottomwear</x:v>
      </x:c>
      <x:c r="D295" s="2" t="n">
        <x:v>808</x:v>
      </x:c>
      <x:c r="E295" s="11" t="n">
        <x:v>46022.5</x:v>
      </x:c>
      <x:c r="F295" s="2" t="n">
        <x:v>2</x:v>
      </x:c>
      <x:c r="G295" s="2" t="n">
        <x:v>10</x:v>
      </x:c>
      <x:c r="H295" s="10" t="n">
        <x:f>IF(F295=0,"无销量",D295*30/F295)</x:f>
        <x:v>12120</x:v>
      </x:c>
      <x:c r="I295" s="10" t="n">
        <x:f>IF(G295=0,"无销量",D295*90/G295)</x:f>
        <x:v>7272</x:v>
      </x:c>
    </x:row>
    <x:row r="296" ht="27" customHeight="1">
      <x:c r="A296" s="2" t="str">
        <x:v>PROD10287</x:v>
      </x:c>
      <x:c r="B296" s="2" t="str">
        <x:v>Bags</x:v>
      </x:c>
      <x:c r="C296" s="2" t="str">
        <x:v>Behl-Chanda Everyday Backpack</x:v>
      </x:c>
      <x:c r="D296" s="2" t="n">
        <x:v>2006</x:v>
      </x:c>
      <x:c r="E296" s="11" t="n">
        <x:v>46022.5</x:v>
      </x:c>
      <x:c r="F296" s="2" t="n">
        <x:v>25</x:v>
      </x:c>
      <x:c r="G296" s="2" t="n">
        <x:v>29</x:v>
      </x:c>
      <x:c r="H296" s="10" t="n">
        <x:f>IF(F296=0,"无销量",D296*30/F296)</x:f>
        <x:v>2407.2</x:v>
      </x:c>
      <x:c r="I296" s="10" t="n">
        <x:f>IF(G296=0,"无销量",D296*90/G296)</x:f>
        <x:v>6225.517241379311</x:v>
      </x:c>
    </x:row>
    <x:row r="297" ht="27" customHeight="1">
      <x:c r="A297" s="2" t="str">
        <x:v>PROD10288</x:v>
      </x:c>
      <x:c r="B297" s="2" t="str">
        <x:v>Office Supplies</x:v>
      </x:c>
      <x:c r="C297" s="2" t="str">
        <x:v>Kohli-Divan Advanced Printer</x:v>
      </x:c>
      <x:c r="D297" s="2" t="n">
        <x:v>1907</x:v>
      </x:c>
      <x:c r="E297" s="11" t="n">
        <x:v>46022.5</x:v>
      </x:c>
      <x:c r="F297" s="2" t="n">
        <x:v>24</x:v>
      </x:c>
      <x:c r="G297" s="2" t="n">
        <x:v>52</x:v>
      </x:c>
      <x:c r="H297" s="10" t="n">
        <x:f>IF(F297=0,"无销量",D297*30/F297)</x:f>
        <x:v>2383.75</x:v>
      </x:c>
      <x:c r="I297" s="10" t="n">
        <x:f>IF(G297=0,"无销量",D297*90/G297)</x:f>
        <x:v>3300.576923076923</x:v>
      </x:c>
    </x:row>
    <x:row r="298" ht="27" customHeight="1">
      <x:c r="A298" s="2" t="str">
        <x:v>PROD10289</x:v>
      </x:c>
      <x:c r="B298" s="2" t="str">
        <x:v>Bags</x:v>
      </x:c>
      <x:c r="C298" s="2" t="str">
        <x:v>Memon Pro Backpack</x:v>
      </x:c>
      <x:c r="D298" s="2" t="n">
        <x:v>666</x:v>
      </x:c>
      <x:c r="E298" s="11" t="n">
        <x:v>46022.5</x:v>
      </x:c>
      <x:c r="F298" s="2" t="n">
        <x:v>54</x:v>
      </x:c>
      <x:c r="G298" s="2" t="n">
        <x:v>135</x:v>
      </x:c>
      <x:c r="H298" s="10" t="n">
        <x:f>IF(F298=0,"无销量",D298*30/F298)</x:f>
        <x:v>370</x:v>
      </x:c>
      <x:c r="I298" s="10" t="n">
        <x:f>IF(G298=0,"无销量",D298*90/G298)</x:f>
        <x:v>444</x:v>
      </x:c>
    </x:row>
    <x:row r="299" ht="27" customHeight="1">
      <x:c r="A299" s="2" t="str">
        <x:v>PROD10290</x:v>
      </x:c>
      <x:c r="B299" s="2" t="str">
        <x:v>Books</x:v>
      </x:c>
      <x:c r="C299" s="2" t="str">
        <x:v>Mangal-Sampath Classic Comic</x:v>
      </x:c>
      <x:c r="D299" s="2" t="n">
        <x:v>2485</x:v>
      </x:c>
      <x:c r="E299" s="11" t="n">
        <x:v>46022.5</x:v>
      </x:c>
      <x:c r="F299" s="2" t="n">
        <x:v>31</x:v>
      </x:c>
      <x:c r="G299" s="2" t="n">
        <x:v>71</x:v>
      </x:c>
      <x:c r="H299" s="10" t="n">
        <x:f>IF(F299=0,"无销量",D299*30/F299)</x:f>
        <x:v>2404.8387096774195</x:v>
      </x:c>
      <x:c r="I299" s="10" t="n">
        <x:f>IF(G299=0,"无销量",D299*90/G299)</x:f>
        <x:v>3150</x:v>
      </x:c>
    </x:row>
    <x:row r="300" ht="27" customHeight="1">
      <x:c r="A300" s="2" t="str">
        <x:v>PROD10291</x:v>
      </x:c>
      <x:c r="B300" s="2" t="str">
        <x:v>Home &amp; Kitchen</x:v>
      </x:c>
      <x:c r="C300" s="2" t="str">
        <x:v>Rastogi, Compact Dinnerware</x:v>
      </x:c>
      <x:c r="D300" s="2" t="n">
        <x:v>2793</x:v>
      </x:c>
      <x:c r="E300" s="11" t="n">
        <x:v>46022.5</x:v>
      </x:c>
      <x:c r="F300" s="2" t="n">
        <x:v>19</x:v>
      </x:c>
      <x:c r="G300" s="2" t="n">
        <x:v>39</x:v>
      </x:c>
      <x:c r="H300" s="10" t="n">
        <x:f>IF(F300=0,"无销量",D300*30/F300)</x:f>
        <x:v>4410</x:v>
      </x:c>
      <x:c r="I300" s="10" t="n">
        <x:f>IF(G300=0,"无销量",D300*90/G300)</x:f>
        <x:v>6445.384615384615</x:v>
      </x:c>
    </x:row>
    <x:row r="301" ht="27" customHeight="1">
      <x:c r="A301" s="2" t="str">
        <x:v>PROD10292</x:v>
      </x:c>
      <x:c r="B301" s="2" t="str">
        <x:v>Home &amp; Kitchen</x:v>
      </x:c>
      <x:c r="C301" s="2" t="str">
        <x:v>Wali-Nadig Signature Home Decor</x:v>
      </x:c>
      <x:c r="D301" s="2" t="n">
        <x:v>216</x:v>
      </x:c>
      <x:c r="E301" s="11" t="n">
        <x:v>46022.5</x:v>
      </x:c>
      <x:c r="F301" s="2" t="n">
        <x:v>24</x:v>
      </x:c>
      <x:c r="G301" s="2" t="n">
        <x:v>75</x:v>
      </x:c>
      <x:c r="H301" s="10" t="n">
        <x:f>IF(F301=0,"无销量",D301*30/F301)</x:f>
        <x:v>270</x:v>
      </x:c>
      <x:c r="I301" s="10" t="n">
        <x:f>IF(G301=0,"无销量",D301*90/G301)</x:f>
        <x:v>259.2</x:v>
      </x:c>
    </x:row>
    <x:row r="302" ht="27" customHeight="1">
      <x:c r="A302" s="2" t="str">
        <x:v>PROD10293</x:v>
      </x:c>
      <x:c r="B302" s="2" t="str">
        <x:v>Baby Care</x:v>
      </x:c>
      <x:c r="C302" s="2" t="str">
        <x:v>Salvi Ultra Diaper</x:v>
      </x:c>
      <x:c r="D302" s="2" t="n">
        <x:v>1637</x:v>
      </x:c>
      <x:c r="E302" s="11" t="n">
        <x:v>46022.5</x:v>
      </x:c>
      <x:c r="F302" s="2" t="n">
        <x:v>28</x:v>
      </x:c>
      <x:c r="G302" s="2" t="n">
        <x:v>76</x:v>
      </x:c>
      <x:c r="H302" s="10" t="n">
        <x:f>IF(F302=0,"无销量",D302*30/F302)</x:f>
        <x:v>1753.9285714285713</x:v>
      </x:c>
      <x:c r="I302" s="10" t="n">
        <x:f>IF(G302=0,"无销量",D302*90/G302)</x:f>
        <x:v>1938.5526315789473</x:v>
      </x:c>
    </x:row>
    <x:row r="303" ht="27" customHeight="1">
      <x:c r="A303" s="2" t="str">
        <x:v>PROD10294</x:v>
      </x:c>
      <x:c r="B303" s="2" t="str">
        <x:v>Toys</x:v>
      </x:c>
      <x:c r="C303" s="2" t="str">
        <x:v>Gola Deluxe Soft Toy</x:v>
      </x:c>
      <x:c r="D303" s="2" t="n">
        <x:v>1747</x:v>
      </x:c>
      <x:c r="E303" s="11" t="n">
        <x:v>46022.5</x:v>
      </x:c>
      <x:c r="F303" s="2" t="n">
        <x:v>97</x:v>
      </x:c>
      <x:c r="G303" s="2" t="n">
        <x:v>242</x:v>
      </x:c>
      <x:c r="H303" s="10" t="n">
        <x:f>IF(F303=0,"无销量",D303*30/F303)</x:f>
        <x:v>540.3092783505155</x:v>
      </x:c>
      <x:c r="I303" s="10" t="n">
        <x:f>IF(G303=0,"无销量",D303*90/G303)</x:f>
        <x:v>649.7107438016529</x:v>
      </x:c>
    </x:row>
    <x:row r="304" ht="27" customHeight="1">
      <x:c r="A304" s="2" t="str">
        <x:v>PROD10295</x:v>
      </x:c>
      <x:c r="B304" s="2" t="str">
        <x:v>Health &amp; Wellness</x:v>
      </x:c>
      <x:c r="C304" s="2" t="str">
        <x:v>Parmar Deluxe Medical Device</x:v>
      </x:c>
      <x:c r="D304" s="2" t="n">
        <x:v>162</x:v>
      </x:c>
      <x:c r="E304" s="11" t="n">
        <x:v>46022.5</x:v>
      </x:c>
      <x:c r="F304" s="2" t="n">
        <x:v>14</x:v>
      </x:c>
      <x:c r="G304" s="2" t="n">
        <x:v>37</x:v>
      </x:c>
      <x:c r="H304" s="10" t="n">
        <x:f>IF(F304=0,"无销量",D304*30/F304)</x:f>
        <x:v>347.14285714285717</x:v>
      </x:c>
      <x:c r="I304" s="10" t="n">
        <x:f>IF(G304=0,"无销量",D304*90/G304)</x:f>
        <x:v>394.05405405405406</x:v>
      </x:c>
    </x:row>
    <x:row r="305" ht="27" customHeight="1">
      <x:c r="A305" s="2" t="str">
        <x:v>PROD10296</x:v>
      </x:c>
      <x:c r="B305" s="2" t="str">
        <x:v>Health &amp; Wellness</x:v>
      </x:c>
      <x:c r="C305" s="2" t="str">
        <x:v>Boase, Signature Medical Device</x:v>
      </x:c>
      <x:c r="D305" s="2" t="n">
        <x:v>2464</x:v>
      </x:c>
      <x:c r="E305" s="11" t="n">
        <x:v>46022.5</x:v>
      </x:c>
      <x:c r="F305" s="2" t="n">
        <x:v>6</x:v>
      </x:c>
      <x:c r="G305" s="2" t="n">
        <x:v>16</x:v>
      </x:c>
      <x:c r="H305" s="10" t="n">
        <x:f>IF(F305=0,"无销量",D305*30/F305)</x:f>
        <x:v>12320</x:v>
      </x:c>
      <x:c r="I305" s="10" t="n">
        <x:f>IF(G305=0,"无销量",D305*90/G305)</x:f>
        <x:v>13860</x:v>
      </x:c>
    </x:row>
    <x:row r="306" ht="27" customHeight="1">
      <x:c r="A306" s="2" t="str">
        <x:v>PROD10297</x:v>
      </x:c>
      <x:c r="B306" s="2" t="str">
        <x:v>Beauty</x:v>
      </x:c>
      <x:c r="C306" s="2" t="str">
        <x:v>Prakash, Advanced Skincare</x:v>
      </x:c>
      <x:c r="D306" s="2" t="n">
        <x:v>2341</x:v>
      </x:c>
      <x:c r="E306" s="11" t="n">
        <x:v>46022.5</x:v>
      </x:c>
      <x:c r="F306" s="2" t="n">
        <x:v>51</x:v>
      </x:c>
      <x:c r="G306" s="2" t="n">
        <x:v>158</x:v>
      </x:c>
      <x:c r="H306" s="10" t="n">
        <x:f>IF(F306=0,"无销量",D306*30/F306)</x:f>
        <x:v>1377.0588235294117</x:v>
      </x:c>
      <x:c r="I306" s="10" t="n">
        <x:f>IF(G306=0,"无销量",D306*90/G306)</x:f>
        <x:v>1333.4810126582279</x:v>
      </x:c>
    </x:row>
    <x:row r="307" ht="27" customHeight="1">
      <x:c r="A307" s="2" t="str">
        <x:v>PROD10298</x:v>
      </x:c>
      <x:c r="B307" s="2" t="str">
        <x:v>Baby Care</x:v>
      </x:c>
      <x:c r="C307" s="2" t="str">
        <x:v>Handa Advanced Diaper</x:v>
      </x:c>
      <x:c r="D307" s="2" t="n">
        <x:v>1161</x:v>
      </x:c>
      <x:c r="E307" s="11" t="n">
        <x:v>46022.5</x:v>
      </x:c>
      <x:c r="F307" s="2" t="n">
        <x:v>43</x:v>
      </x:c>
      <x:c r="G307" s="2" t="n">
        <x:v>114</x:v>
      </x:c>
      <x:c r="H307" s="10" t="n">
        <x:f>IF(F307=0,"无销量",D307*30/F307)</x:f>
        <x:v>810</x:v>
      </x:c>
      <x:c r="I307" s="10" t="n">
        <x:f>IF(G307=0,"无销量",D307*90/G307)</x:f>
        <x:v>916.578947368421</x:v>
      </x:c>
    </x:row>
    <x:row r="308" ht="27" customHeight="1">
      <x:c r="A308" s="2" t="str">
        <x:v>PROD10299</x:v>
      </x:c>
      <x:c r="B308" s="2" t="str">
        <x:v>Mobile Accessories</x:v>
      </x:c>
      <x:c r="C308" s="2" t="str">
        <x:v>Lall, Essential Charger</x:v>
      </x:c>
      <x:c r="D308" s="2" t="n">
        <x:v>2444</x:v>
      </x:c>
      <x:c r="E308" s="11" t="n">
        <x:v>46022.5</x:v>
      </x:c>
      <x:c r="F308" s="2" t="n">
        <x:v>22</x:v>
      </x:c>
      <x:c r="G308" s="2" t="n">
        <x:v>77</x:v>
      </x:c>
      <x:c r="H308" s="10" t="n">
        <x:f>IF(F308=0,"无销量",D308*30/F308)</x:f>
        <x:v>3332.7272727272725</x:v>
      </x:c>
      <x:c r="I308" s="10" t="n">
        <x:f>IF(G308=0,"无销量",D308*90/G308)</x:f>
        <x:v>2856.6233766233768</x:v>
      </x:c>
    </x:row>
    <x:row r="309" ht="27" customHeight="1">
      <x:c r="A309" s="2" t="str">
        <x:v>PROD10300</x:v>
      </x:c>
      <x:c r="B309" s="2" t="str">
        <x:v>Personal Care</x:v>
      </x:c>
      <x:c r="C309" s="2" t="str">
        <x:v>Keer Classic Oral Care</x:v>
      </x:c>
      <x:c r="D309" s="2" t="n">
        <x:v>2754</x:v>
      </x:c>
      <x:c r="E309" s="11" t="n">
        <x:v>46022.5</x:v>
      </x:c>
      <x:c r="F309" s="2" t="n">
        <x:v>12</x:v>
      </x:c>
      <x:c r="G309" s="2" t="n">
        <x:v>18</x:v>
      </x:c>
      <x:c r="H309" s="10" t="n">
        <x:f>IF(F309=0,"无销量",D309*30/F309)</x:f>
        <x:v>6885</x:v>
      </x:c>
      <x:c r="I309" s="10" t="n">
        <x:f>IF(G309=0,"无销量",D309*90/G309)</x:f>
        <x:v>13770</x:v>
      </x:c>
    </x:row>
    <x:row r="310" ht="27" customHeight="1">
      <x:c r="A310" s="2" t="str">
        <x:v>PROD10301</x:v>
      </x:c>
      <x:c r="B310" s="2" t="str">
        <x:v>Electronics</x:v>
      </x:c>
      <x:c r="C310" s="2" t="str">
        <x:v>Choudhury, Ultra Laptop</x:v>
      </x:c>
      <x:c r="D310" s="2" t="n">
        <x:v>918</x:v>
      </x:c>
      <x:c r="E310" s="11" t="n">
        <x:v>46022.5</x:v>
      </x:c>
      <x:c r="F310" s="2" t="n">
        <x:v>146</x:v>
      </x:c>
      <x:c r="G310" s="2" t="n">
        <x:v>340</x:v>
      </x:c>
      <x:c r="H310" s="10" t="n">
        <x:f>IF(F310=0,"无销量",D310*30/F310)</x:f>
        <x:v>188.63013698630138</x:v>
      </x:c>
      <x:c r="I310" s="10" t="n">
        <x:f>IF(G310=0,"无销量",D310*90/G310)</x:f>
        <x:v>243</x:v>
      </x:c>
    </x:row>
    <x:row r="311" ht="27" customHeight="1">
      <x:c r="A311" s="2" t="str">
        <x:v>PROD10302</x:v>
      </x:c>
      <x:c r="B311" s="2" t="str">
        <x:v>Books</x:v>
      </x:c>
      <x:c r="C311" s="2" t="str">
        <x:v>Wali-Nadig Everyday Children's Book</x:v>
      </x:c>
      <x:c r="D311" s="2" t="n">
        <x:v>1118</x:v>
      </x:c>
      <x:c r="E311" s="11" t="n">
        <x:v>46022.5</x:v>
      </x:c>
      <x:c r="F311" s="2" t="n">
        <x:v>9</x:v>
      </x:c>
      <x:c r="G311" s="2" t="n">
        <x:v>26</x:v>
      </x:c>
      <x:c r="H311" s="10" t="n">
        <x:f>IF(F311=0,"无销量",D311*30/F311)</x:f>
        <x:v>3726.6666666666665</x:v>
      </x:c>
      <x:c r="I311" s="10" t="n">
        <x:f>IF(G311=0,"无销量",D311*90/G311)</x:f>
        <x:v>3870</x:v>
      </x:c>
    </x:row>
    <x:row r="312" ht="27" customHeight="1">
      <x:c r="A312" s="2" t="str">
        <x:v>PROD10303</x:v>
      </x:c>
      <x:c r="B312" s="2" t="str">
        <x:v>Fashion</x:v>
      </x:c>
      <x:c r="C312" s="2" t="str">
        <x:v>Sami, Essential Men's Bottomwear</x:v>
      </x:c>
      <x:c r="D312" s="2" t="n">
        <x:v>236</x:v>
      </x:c>
      <x:c r="E312" s="11" t="n">
        <x:v>46022.5</x:v>
      </x:c>
      <x:c r="F312" s="2" t="n">
        <x:v>8</x:v>
      </x:c>
      <x:c r="G312" s="2" t="n">
        <x:v>31</x:v>
      </x:c>
      <x:c r="H312" s="10" t="n">
        <x:f>IF(F312=0,"无销量",D312*30/F312)</x:f>
        <x:v>885</x:v>
      </x:c>
      <x:c r="I312" s="10" t="n">
        <x:f>IF(G312=0,"无销量",D312*90/G312)</x:f>
        <x:v>685.1612903225806</x:v>
      </x:c>
    </x:row>
    <x:row r="313" ht="27" customHeight="1">
      <x:c r="A313" s="2" t="str">
        <x:v>PROD10304</x:v>
      </x:c>
      <x:c r="B313" s="2" t="str">
        <x:v>Beauty</x:v>
      </x:c>
      <x:c r="C313" s="2" t="str">
        <x:v>Chander Basic Haircare</x:v>
      </x:c>
      <x:c r="D313" s="2" t="n">
        <x:v>19</x:v>
      </x:c>
      <x:c r="E313" s="11" t="n">
        <x:v>46022.5</x:v>
      </x:c>
      <x:c r="F313" s="2" t="n">
        <x:v>246</x:v>
      </x:c>
      <x:c r="G313" s="2" t="n">
        <x:v>613</x:v>
      </x:c>
      <x:c r="H313" s="10" t="n">
        <x:f>IF(F313=0,"无销量",D313*30/F313)</x:f>
        <x:v>2.317073170731707</x:v>
      </x:c>
      <x:c r="I313" s="10" t="n">
        <x:f>IF(G313=0,"无销量",D313*90/G313)</x:f>
        <x:v>2.789559543230016</x:v>
      </x:c>
    </x:row>
    <x:row r="314" ht="27" customHeight="1">
      <x:c r="A314" s="2" t="str">
        <x:v>PROD10305</x:v>
      </x:c>
      <x:c r="B314" s="2" t="str">
        <x:v>Toys</x:v>
      </x:c>
      <x:c r="C314" s="2" t="str">
        <x:v>Patla-Gaba Advanced Soft Toy</x:v>
      </x:c>
      <x:c r="D314" s="2" t="n">
        <x:v>2026</x:v>
      </x:c>
      <x:c r="E314" s="11" t="n">
        <x:v>46022.5</x:v>
      </x:c>
      <x:c r="F314" s="2" t="n">
        <x:v>90</x:v>
      </x:c>
      <x:c r="G314" s="2" t="n">
        <x:v>208</x:v>
      </x:c>
      <x:c r="H314" s="10" t="n">
        <x:f>IF(F314=0,"无销量",D314*30/F314)</x:f>
        <x:v>675.3333333333334</x:v>
      </x:c>
      <x:c r="I314" s="10" t="n">
        <x:f>IF(G314=0,"无销量",D314*90/G314)</x:f>
        <x:v>876.6346153846154</x:v>
      </x:c>
    </x:row>
    <x:row r="315" ht="27" customHeight="1">
      <x:c r="A315" s="2" t="str">
        <x:v>PROD10306</x:v>
      </x:c>
      <x:c r="B315" s="2" t="str">
        <x:v>Electronics</x:v>
      </x:c>
      <x:c r="C315" s="2" t="str">
        <x:v>Handa Advanced Laptop</x:v>
      </x:c>
      <x:c r="D315" s="2" t="n">
        <x:v>2809</x:v>
      </x:c>
      <x:c r="E315" s="11" t="n">
        <x:v>46022.5</x:v>
      </x:c>
      <x:c r="F315" s="2" t="n">
        <x:v>56</x:v>
      </x:c>
      <x:c r="G315" s="2" t="n">
        <x:v>129</x:v>
      </x:c>
      <x:c r="H315" s="10" t="n">
        <x:f>IF(F315=0,"无销量",D315*30/F315)</x:f>
        <x:v>1504.8214285714287</x:v>
      </x:c>
      <x:c r="I315" s="10" t="n">
        <x:f>IF(G315=0,"无销量",D315*90/G315)</x:f>
        <x:v>1959.7674418604652</x:v>
      </x:c>
    </x:row>
    <x:row r="316" ht="27" customHeight="1">
      <x:c r="A316" s="2" t="str">
        <x:v>PROD10307</x:v>
      </x:c>
      <x:c r="B316" s="2" t="str">
        <x:v>Mobile Accessories</x:v>
      </x:c>
      <x:c r="C316" s="2" t="str">
        <x:v>Gandhi-Lanka Ultra Screen Guard</x:v>
      </x:c>
      <x:c r="D316" s="2" t="n">
        <x:v>1916</x:v>
      </x:c>
      <x:c r="E316" s="11" t="n">
        <x:v>46022.5</x:v>
      </x:c>
      <x:c r="F316" s="2" t="n">
        <x:v>5</x:v>
      </x:c>
      <x:c r="G316" s="2" t="n">
        <x:v>5</x:v>
      </x:c>
      <x:c r="H316" s="10" t="n">
        <x:f>IF(F316=0,"无销量",D316*30/F316)</x:f>
        <x:v>11496</x:v>
      </x:c>
      <x:c r="I316" s="10" t="n">
        <x:f>IF(G316=0,"无销量",D316*90/G316)</x:f>
        <x:v>34488</x:v>
      </x:c>
    </x:row>
    <x:row r="317" ht="27" customHeight="1">
      <x:c r="A317" s="2" t="str">
        <x:v>PROD10308</x:v>
      </x:c>
      <x:c r="B317" s="2" t="str">
        <x:v>Home &amp; Kitchen</x:v>
      </x:c>
      <x:c r="C317" s="2" t="str">
        <x:v>Gara-Chad Essential Cookware</x:v>
      </x:c>
      <x:c r="D317" s="2" t="n">
        <x:v>2832</x:v>
      </x:c>
      <x:c r="E317" s="11" t="n">
        <x:v>46022.5</x:v>
      </x:c>
      <x:c r="F317" s="2" t="n">
        <x:v>21</x:v>
      </x:c>
      <x:c r="G317" s="2" t="n">
        <x:v>76</x:v>
      </x:c>
      <x:c r="H317" s="10" t="n">
        <x:f>IF(F317=0,"无销量",D317*30/F317)</x:f>
        <x:v>4045.714285714286</x:v>
      </x:c>
      <x:c r="I317" s="10" t="n">
        <x:f>IF(G317=0,"无销量",D317*90/G317)</x:f>
        <x:v>3353.684210526316</x:v>
      </x:c>
    </x:row>
    <x:row r="318" ht="27" customHeight="1">
      <x:c r="A318" s="2" t="str">
        <x:v>PROD10309</x:v>
      </x:c>
      <x:c r="B318" s="2" t="str">
        <x:v>Grocery</x:v>
      </x:c>
      <x:c r="C318" s="2" t="str">
        <x:v>Sen, Pro Snack</x:v>
      </x:c>
      <x:c r="D318" s="2" t="n">
        <x:v>40</x:v>
      </x:c>
      <x:c r="E318" s="11" t="n">
        <x:v>46022.5</x:v>
      </x:c>
      <x:c r="F318" s="2" t="n">
        <x:v>17</x:v>
      </x:c>
      <x:c r="G318" s="2" t="n">
        <x:v>34</x:v>
      </x:c>
      <x:c r="H318" s="10" t="n">
        <x:f>IF(F318=0,"无销量",D318*30/F318)</x:f>
        <x:v>70.58823529411765</x:v>
      </x:c>
      <x:c r="I318" s="10" t="n">
        <x:f>IF(G318=0,"无销量",D318*90/G318)</x:f>
        <x:v>105.88235294117646</x:v>
      </x:c>
    </x:row>
    <x:row r="319" ht="27" customHeight="1">
      <x:c r="A319" s="2" t="str">
        <x:v>PROD10310</x:v>
      </x:c>
      <x:c r="B319" s="2" t="str">
        <x:v>Fashion</x:v>
      </x:c>
      <x:c r="C319" s="2" t="str">
        <x:v>Boase, Pro Men's Topwear</x:v>
      </x:c>
      <x:c r="D319" s="2" t="n">
        <x:v>1998</x:v>
      </x:c>
      <x:c r="E319" s="11" t="n">
        <x:v>46022.5</x:v>
      </x:c>
      <x:c r="F319" s="2" t="n">
        <x:v>25</x:v>
      </x:c>
      <x:c r="G319" s="2" t="n">
        <x:v>56</x:v>
      </x:c>
      <x:c r="H319" s="10" t="n">
        <x:f>IF(F319=0,"无销量",D319*30/F319)</x:f>
        <x:v>2397.6</x:v>
      </x:c>
      <x:c r="I319" s="10" t="n">
        <x:f>IF(G319=0,"无销量",D319*90/G319)</x:f>
        <x:v>3211.0714285714284</x:v>
      </x:c>
    </x:row>
    <x:row r="320" ht="27" customHeight="1">
      <x:c r="A320" s="2" t="str">
        <x:v>PROD10311</x:v>
      </x:c>
      <x:c r="B320" s="2" t="str">
        <x:v>Grocery</x:v>
      </x:c>
      <x:c r="C320" s="2" t="str">
        <x:v>Wali-Nadig Basic Beverage</x:v>
      </x:c>
      <x:c r="D320" s="2" t="n">
        <x:v>1697</x:v>
      </x:c>
      <x:c r="E320" s="11" t="n">
        <x:v>46022.5</x:v>
      </x:c>
      <x:c r="F320" s="2" t="n">
        <x:v>78</x:v>
      </x:c>
      <x:c r="G320" s="2" t="n">
        <x:v>185</x:v>
      </x:c>
      <x:c r="H320" s="10" t="n">
        <x:f>IF(F320=0,"无销量",D320*30/F320)</x:f>
        <x:v>652.6923076923077</x:v>
      </x:c>
      <x:c r="I320" s="10" t="n">
        <x:f>IF(G320=0,"无销量",D320*90/G320)</x:f>
        <x:v>825.5675675675676</x:v>
      </x:c>
    </x:row>
    <x:row r="321" ht="27" customHeight="1">
      <x:c r="A321" s="2" t="str">
        <x:v>PROD10312</x:v>
      </x:c>
      <x:c r="B321" s="2" t="str">
        <x:v>Grocery</x:v>
      </x:c>
      <x:c r="C321" s="2" t="str">
        <x:v>Ray Everyday Packaged Food</x:v>
      </x:c>
      <x:c r="D321" s="2" t="n">
        <x:v>2562</x:v>
      </x:c>
      <x:c r="E321" s="11" t="n">
        <x:v>46022.5</x:v>
      </x:c>
      <x:c r="F321" s="2" t="n">
        <x:v>45</x:v>
      </x:c>
      <x:c r="G321" s="2" t="n">
        <x:v>114</x:v>
      </x:c>
      <x:c r="H321" s="10" t="n">
        <x:f>IF(F321=0,"无销量",D321*30/F321)</x:f>
        <x:v>1708</x:v>
      </x:c>
      <x:c r="I321" s="10" t="n">
        <x:f>IF(G321=0,"无销量",D321*90/G321)</x:f>
        <x:v>2022.6315789473683</x:v>
      </x:c>
    </x:row>
    <x:row r="322" ht="27" customHeight="1">
      <x:c r="A322" s="2" t="str">
        <x:v>PROD10313</x:v>
      </x:c>
      <x:c r="B322" s="2" t="str">
        <x:v>Home &amp; Kitchen</x:v>
      </x:c>
      <x:c r="C322" s="2" t="str">
        <x:v>Bajwa Basic Cookware</x:v>
      </x:c>
      <x:c r="D322" s="2" t="n">
        <x:v>1496</x:v>
      </x:c>
      <x:c r="E322" s="11" t="n">
        <x:v>46022.5</x:v>
      </x:c>
      <x:c r="F322" s="2" t="n">
        <x:v>22</x:v>
      </x:c>
      <x:c r="G322" s="2" t="n">
        <x:v>41</x:v>
      </x:c>
      <x:c r="H322" s="10" t="n">
        <x:f>IF(F322=0,"无销量",D322*30/F322)</x:f>
        <x:v>2040</x:v>
      </x:c>
      <x:c r="I322" s="10" t="n">
        <x:f>IF(G322=0,"无销量",D322*90/G322)</x:f>
        <x:v>3283.9024390243903</x:v>
      </x:c>
    </x:row>
    <x:row r="323" ht="27" customHeight="1">
      <x:c r="A323" s="2" t="str">
        <x:v>PROD10314</x:v>
      </x:c>
      <x:c r="B323" s="2" t="str">
        <x:v>Mobile Accessories</x:v>
      </x:c>
      <x:c r="C323" s="2" t="str">
        <x:v>Nath Deluxe Phone Case</x:v>
      </x:c>
      <x:c r="D323" s="2" t="n">
        <x:v>2047</x:v>
      </x:c>
      <x:c r="E323" s="11" t="n">
        <x:v>46022.5</x:v>
      </x:c>
      <x:c r="F323" s="2" t="n">
        <x:v>39</x:v>
      </x:c>
      <x:c r="G323" s="2" t="n">
        <x:v>68</x:v>
      </x:c>
      <x:c r="H323" s="10" t="n">
        <x:f>IF(F323=0,"无销量",D323*30/F323)</x:f>
        <x:v>1574.6153846153845</x:v>
      </x:c>
      <x:c r="I323" s="10" t="n">
        <x:f>IF(G323=0,"无销量",D323*90/G323)</x:f>
        <x:v>2709.264705882353</x:v>
      </x:c>
    </x:row>
    <x:row r="324" ht="27" customHeight="1">
      <x:c r="A324" s="2" t="str">
        <x:v>PROD10315</x:v>
      </x:c>
      <x:c r="B324" s="2" t="str">
        <x:v>Health &amp; Wellness</x:v>
      </x:c>
      <x:c r="C324" s="2" t="str">
        <x:v>Kala-Vaidya Everyday Medical Device</x:v>
      </x:c>
      <x:c r="D324" s="2" t="n">
        <x:v>2064</x:v>
      </x:c>
      <x:c r="E324" s="11" t="n">
        <x:v>46022.5</x:v>
      </x:c>
      <x:c r="F324" s="2" t="n">
        <x:v>16</x:v>
      </x:c>
      <x:c r="G324" s="2" t="n">
        <x:v>37</x:v>
      </x:c>
      <x:c r="H324" s="10" t="n">
        <x:f>IF(F324=0,"无销量",D324*30/F324)</x:f>
        <x:v>3870</x:v>
      </x:c>
      <x:c r="I324" s="10" t="n">
        <x:f>IF(G324=0,"无销量",D324*90/G324)</x:f>
        <x:v>5020.540540540541</x:v>
      </x:c>
    </x:row>
    <x:row r="325" ht="27" customHeight="1">
      <x:c r="A325" s="2" t="str">
        <x:v>PROD10316</x:v>
      </x:c>
      <x:c r="B325" s="2" t="str">
        <x:v>Stationery</x:v>
      </x:c>
      <x:c r="C325" s="2" t="str">
        <x:v>Loke, Signature Office Stationery</x:v>
      </x:c>
      <x:c r="D325" s="2" t="n">
        <x:v>938</x:v>
      </x:c>
      <x:c r="E325" s="11" t="n">
        <x:v>46022.5</x:v>
      </x:c>
      <x:c r="F325" s="2" t="n">
        <x:v>164</x:v>
      </x:c>
      <x:c r="G325" s="2" t="n">
        <x:v>377</x:v>
      </x:c>
      <x:c r="H325" s="10" t="n">
        <x:f>IF(F325=0,"无销量",D325*30/F325)</x:f>
        <x:v>171.58536585365854</x:v>
      </x:c>
      <x:c r="I325" s="10" t="n">
        <x:f>IF(G325=0,"无销量",D325*90/G325)</x:f>
        <x:v>223.92572944297083</x:v>
      </x:c>
    </x:row>
    <x:row r="326" ht="27" customHeight="1">
      <x:c r="A326" s="2" t="str">
        <x:v>PROD10317</x:v>
      </x:c>
      <x:c r="B326" s="2" t="str">
        <x:v>Fashion</x:v>
      </x:c>
      <x:c r="C326" s="2" t="str">
        <x:v>Krish, Basic Men's Topwear</x:v>
      </x:c>
      <x:c r="D326" s="2" t="n">
        <x:v>2749</x:v>
      </x:c>
      <x:c r="E326" s="11" t="n">
        <x:v>46022.5</x:v>
      </x:c>
      <x:c r="F326" s="2" t="n">
        <x:v>108</x:v>
      </x:c>
      <x:c r="G326" s="2" t="n">
        <x:v>276</x:v>
      </x:c>
      <x:c r="H326" s="10" t="n">
        <x:f>IF(F326=0,"无销量",D326*30/F326)</x:f>
        <x:v>763.6111111111111</x:v>
      </x:c>
      <x:c r="I326" s="10" t="n">
        <x:f>IF(G326=0,"无销量",D326*90/G326)</x:f>
        <x:v>896.4130434782609</x:v>
      </x:c>
    </x:row>
    <x:row r="327" ht="27" customHeight="1">
      <x:c r="A327" s="2" t="str">
        <x:v>PROD10318</x:v>
      </x:c>
      <x:c r="B327" s="2" t="str">
        <x:v>Baby Care</x:v>
      </x:c>
      <x:c r="C327" s="2" t="str">
        <x:v>Roy-Sibal Premium Baby Food</x:v>
      </x:c>
      <x:c r="D327" s="2" t="n">
        <x:v>2518</x:v>
      </x:c>
      <x:c r="E327" s="11" t="n">
        <x:v>46022.5</x:v>
      </x:c>
      <x:c r="F327" s="2" t="n">
        <x:v>15</x:v>
      </x:c>
      <x:c r="G327" s="2" t="n">
        <x:v>81</x:v>
      </x:c>
      <x:c r="H327" s="10" t="n">
        <x:f>IF(F327=0,"无销量",D327*30/F327)</x:f>
        <x:v>5036</x:v>
      </x:c>
      <x:c r="I327" s="10" t="n">
        <x:f>IF(G327=0,"无销量",D327*90/G327)</x:f>
        <x:v>2797.777777777778</x:v>
      </x:c>
    </x:row>
    <x:row r="328" ht="27" customHeight="1">
      <x:c r="A328" s="2" t="str">
        <x:v>PROD10319</x:v>
      </x:c>
      <x:c r="B328" s="2" t="str">
        <x:v>Grocery</x:v>
      </x:c>
      <x:c r="C328" s="2" t="str">
        <x:v>Bhargava, Advanced Staple</x:v>
      </x:c>
      <x:c r="D328" s="2" t="n">
        <x:v>2233</x:v>
      </x:c>
      <x:c r="E328" s="11" t="n">
        <x:v>46022.5</x:v>
      </x:c>
      <x:c r="F328" s="2" t="n">
        <x:v>5</x:v>
      </x:c>
      <x:c r="G328" s="2" t="n">
        <x:v>46</x:v>
      </x:c>
      <x:c r="H328" s="10" t="n">
        <x:f>IF(F328=0,"无销量",D328*30/F328)</x:f>
        <x:v>13398</x:v>
      </x:c>
      <x:c r="I328" s="10" t="n">
        <x:f>IF(G328=0,"无销量",D328*90/G328)</x:f>
        <x:v>4368.913043478261</x:v>
      </x:c>
    </x:row>
    <x:row r="329" ht="27" customHeight="1">
      <x:c r="A329" s="2" t="str">
        <x:v>PROD10320</x:v>
      </x:c>
      <x:c r="B329" s="2" t="str">
        <x:v>Watches</x:v>
      </x:c>
      <x:c r="C329" s="2" t="str">
        <x:v>Shetty, Premium Digital Watche</x:v>
      </x:c>
      <x:c r="D329" s="2" t="n">
        <x:v>1006</x:v>
      </x:c>
      <x:c r="E329" s="11" t="n">
        <x:v>46022.5</x:v>
      </x:c>
      <x:c r="F329" s="2" t="n">
        <x:v>58</x:v>
      </x:c>
      <x:c r="G329" s="2" t="n">
        <x:v>156</x:v>
      </x:c>
      <x:c r="H329" s="10" t="n">
        <x:f>IF(F329=0,"无销量",D329*30/F329)</x:f>
        <x:v>520.3448275862069</x:v>
      </x:c>
      <x:c r="I329" s="10" t="n">
        <x:f>IF(G329=0,"无销量",D329*90/G329)</x:f>
        <x:v>580.3846153846154</x:v>
      </x:c>
    </x:row>
    <x:row r="330" ht="27" customHeight="1">
      <x:c r="A330" s="2" t="str">
        <x:v>PROD10321</x:v>
      </x:c>
      <x:c r="B330" s="2" t="str">
        <x:v>Personal Care</x:v>
      </x:c>
      <x:c r="C330" s="2" t="str">
        <x:v>Sen, Signature Grooming</x:v>
      </x:c>
      <x:c r="D330" s="2" t="n">
        <x:v>264</x:v>
      </x:c>
      <x:c r="E330" s="11" t="n">
        <x:v>46022.5</x:v>
      </x:c>
      <x:c r="F330" s="2" t="n">
        <x:v>0</x:v>
      </x:c>
      <x:c r="G330" s="2" t="n">
        <x:v>10</x:v>
      </x:c>
      <x:c r="H330" s="10" t="str">
        <x:f>IF(F330=0,"无销量",D330*30/F330)</x:f>
        <x:v>无销量</x:v>
      </x:c>
      <x:c r="I330" s="10" t="n">
        <x:f>IF(G330=0,"无销量",D330*90/G330)</x:f>
        <x:v>2376</x:v>
      </x:c>
    </x:row>
    <x:row r="331" ht="27" customHeight="1">
      <x:c r="A331" s="2" t="str">
        <x:v>PROD10322</x:v>
      </x:c>
      <x:c r="B331" s="2" t="str">
        <x:v>Stationery</x:v>
      </x:c>
      <x:c r="C331" s="2" t="str">
        <x:v>Naik Everyday Notebook</x:v>
      </x:c>
      <x:c r="D331" s="2" t="n">
        <x:v>368</x:v>
      </x:c>
      <x:c r="E331" s="11" t="n">
        <x:v>46022.5</x:v>
      </x:c>
      <x:c r="F331" s="2" t="n">
        <x:v>571</x:v>
      </x:c>
      <x:c r="G331" s="2" t="n">
        <x:v>1345</x:v>
      </x:c>
      <x:c r="H331" s="10" t="n">
        <x:f>IF(F331=0,"无销量",D331*30/F331)</x:f>
        <x:v>19.334500875656744</x:v>
      </x:c>
      <x:c r="I331" s="10" t="n">
        <x:f>IF(G331=0,"无销量",D331*90/G331)</x:f>
        <x:v>24.62453531598513</x:v>
      </x:c>
    </x:row>
    <x:row r="332" ht="27" customHeight="1">
      <x:c r="A332" s="2" t="str">
        <x:v>PROD10323</x:v>
      </x:c>
      <x:c r="B332" s="2" t="str">
        <x:v>Furniture</x:v>
      </x:c>
      <x:c r="C332" s="2" t="str">
        <x:v>Chaudhari, Pro Storage</x:v>
      </x:c>
      <x:c r="D332" s="2" t="n">
        <x:v>1255</x:v>
      </x:c>
      <x:c r="E332" s="11" t="n">
        <x:v>46022.5</x:v>
      </x:c>
      <x:c r="F332" s="2" t="n">
        <x:v>31</x:v>
      </x:c>
      <x:c r="G332" s="2" t="n">
        <x:v>93</x:v>
      </x:c>
      <x:c r="H332" s="10" t="n">
        <x:f>IF(F332=0,"无销量",D332*30/F332)</x:f>
        <x:v>1214.516129032258</x:v>
      </x:c>
      <x:c r="I332" s="10" t="n">
        <x:f>IF(G332=0,"无销量",D332*90/G332)</x:f>
        <x:v>1214.516129032258</x:v>
      </x:c>
    </x:row>
    <x:row r="333" ht="27" customHeight="1">
      <x:c r="A333" s="2" t="str">
        <x:v>PROD10324</x:v>
      </x:c>
      <x:c r="B333" s="2" t="str">
        <x:v>Grocery</x:v>
      </x:c>
      <x:c r="C333" s="2" t="str">
        <x:v>Ray, Advanced Packaged Food</x:v>
      </x:c>
      <x:c r="D333" s="2" t="n">
        <x:v>108</x:v>
      </x:c>
      <x:c r="E333" s="11" t="n">
        <x:v>46022.5</x:v>
      </x:c>
      <x:c r="F333" s="2" t="n">
        <x:v>31</x:v>
      </x:c>
      <x:c r="G333" s="2" t="n">
        <x:v>94</x:v>
      </x:c>
      <x:c r="H333" s="10" t="n">
        <x:f>IF(F333=0,"无销量",D333*30/F333)</x:f>
        <x:v>104.51612903225806</x:v>
      </x:c>
      <x:c r="I333" s="10" t="n">
        <x:f>IF(G333=0,"无销量",D333*90/G333)</x:f>
        <x:v>103.40425531914893</x:v>
      </x:c>
    </x:row>
    <x:row r="334" ht="27" customHeight="1">
      <x:c r="A334" s="2" t="str">
        <x:v>PROD10325</x:v>
      </x:c>
      <x:c r="B334" s="2" t="str">
        <x:v>Footwear</x:v>
      </x:c>
      <x:c r="C334" s="2" t="str">
        <x:v>Nair, Everyday Sandals &amp; Flip Flop</x:v>
      </x:c>
      <x:c r="D334" s="2" t="n">
        <x:v>1625</x:v>
      </x:c>
      <x:c r="E334" s="11" t="n">
        <x:v>46022.5</x:v>
      </x:c>
      <x:c r="F334" s="2" t="n">
        <x:v>47</x:v>
      </x:c>
      <x:c r="G334" s="2" t="n">
        <x:v>108</x:v>
      </x:c>
      <x:c r="H334" s="10" t="n">
        <x:f>IF(F334=0,"无销量",D334*30/F334)</x:f>
        <x:v>1037.2340425531916</x:v>
      </x:c>
      <x:c r="I334" s="10" t="n">
        <x:f>IF(G334=0,"无销量",D334*90/G334)</x:f>
        <x:v>1354.1666666666667</x:v>
      </x:c>
    </x:row>
    <x:row r="335" ht="27" customHeight="1">
      <x:c r="A335" s="2" t="str">
        <x:v>PROD10326</x:v>
      </x:c>
      <x:c r="B335" s="2" t="str">
        <x:v>Beauty</x:v>
      </x:c>
      <x:c r="C335" s="2" t="str">
        <x:v>Lala, Smart Haircare</x:v>
      </x:c>
      <x:c r="D335" s="2" t="n">
        <x:v>2891</x:v>
      </x:c>
      <x:c r="E335" s="11" t="n">
        <x:v>46022.5</x:v>
      </x:c>
      <x:c r="F335" s="2" t="n">
        <x:v>13</x:v>
      </x:c>
      <x:c r="G335" s="2" t="n">
        <x:v>39</x:v>
      </x:c>
      <x:c r="H335" s="10" t="n">
        <x:f>IF(F335=0,"无销量",D335*30/F335)</x:f>
        <x:v>6671.538461538462</x:v>
      </x:c>
      <x:c r="I335" s="10" t="n">
        <x:f>IF(G335=0,"无销量",D335*90/G335)</x:f>
        <x:v>6671.538461538462</x:v>
      </x:c>
    </x:row>
    <x:row r="336" ht="27" customHeight="1">
      <x:c r="A336" s="2" t="str">
        <x:v>PROD10327</x:v>
      </x:c>
      <x:c r="B336" s="2" t="str">
        <x:v>Footwear</x:v>
      </x:c>
      <x:c r="C336" s="2" t="str">
        <x:v>Murty, Pro Sports Shoe</x:v>
      </x:c>
      <x:c r="D336" s="2" t="n">
        <x:v>1175</x:v>
      </x:c>
      <x:c r="E336" s="11" t="n">
        <x:v>46022.5</x:v>
      </x:c>
      <x:c r="F336" s="2" t="n">
        <x:v>330</x:v>
      </x:c>
      <x:c r="G336" s="2" t="n">
        <x:v>879</x:v>
      </x:c>
      <x:c r="H336" s="10" t="n">
        <x:f>IF(F336=0,"无销量",D336*30/F336)</x:f>
        <x:v>106.81818181818181</x:v>
      </x:c>
      <x:c r="I336" s="10" t="n">
        <x:f>IF(G336=0,"无销量",D336*90/G336)</x:f>
        <x:v>120.30716723549489</x:v>
      </x:c>
    </x:row>
    <x:row r="337" ht="27" customHeight="1">
      <x:c r="A337" s="2" t="str">
        <x:v>PROD10328</x:v>
      </x:c>
      <x:c r="B337" s="2" t="str">
        <x:v>Home &amp; Kitchen</x:v>
      </x:c>
      <x:c r="C337" s="2" t="str">
        <x:v>Sane, Basic Storage &amp; Container</x:v>
      </x:c>
      <x:c r="D337" s="2" t="n">
        <x:v>2171</x:v>
      </x:c>
      <x:c r="E337" s="11" t="n">
        <x:v>46022.5</x:v>
      </x:c>
      <x:c r="F337" s="2" t="n">
        <x:v>29</x:v>
      </x:c>
      <x:c r="G337" s="2" t="n">
        <x:v>78</x:v>
      </x:c>
      <x:c r="H337" s="10" t="n">
        <x:f>IF(F337=0,"无销量",D337*30/F337)</x:f>
        <x:v>2245.862068965517</x:v>
      </x:c>
      <x:c r="I337" s="10" t="n">
        <x:f>IF(G337=0,"无销量",D337*90/G337)</x:f>
        <x:v>2505</x:v>
      </x:c>
    </x:row>
    <x:row r="338" ht="27" customHeight="1">
      <x:c r="A338" s="2" t="str">
        <x:v>PROD10329</x:v>
      </x:c>
      <x:c r="B338" s="2" t="str">
        <x:v>Beauty</x:v>
      </x:c>
      <x:c r="C338" s="2" t="str">
        <x:v>Ray Advanced Fragrance</x:v>
      </x:c>
      <x:c r="D338" s="2" t="n">
        <x:v>2413</x:v>
      </x:c>
      <x:c r="E338" s="11" t="n">
        <x:v>46022.5</x:v>
      </x:c>
      <x:c r="F338" s="2" t="n">
        <x:v>37</x:v>
      </x:c>
      <x:c r="G338" s="2" t="n">
        <x:v>87</x:v>
      </x:c>
      <x:c r="H338" s="10" t="n">
        <x:f>IF(F338=0,"无销量",D338*30/F338)</x:f>
        <x:v>1956.4864864864865</x:v>
      </x:c>
      <x:c r="I338" s="10" t="n">
        <x:f>IF(G338=0,"无销量",D338*90/G338)</x:f>
        <x:v>2496.206896551724</x:v>
      </x:c>
    </x:row>
    <x:row r="339" ht="27" customHeight="1">
      <x:c r="A339" s="2" t="str">
        <x:v>PROD10330</x:v>
      </x:c>
      <x:c r="B339" s="2" t="str">
        <x:v>Fashion</x:v>
      </x:c>
      <x:c r="C339" s="2" t="str">
        <x:v>Varma-Nayak Premium Women's Western Wear</x:v>
      </x:c>
      <x:c r="D339" s="2" t="n">
        <x:v>1441</x:v>
      </x:c>
      <x:c r="E339" s="11" t="n">
        <x:v>46022.5</x:v>
      </x:c>
      <x:c r="F339" s="2" t="n">
        <x:v>15</x:v>
      </x:c>
      <x:c r="G339" s="2" t="n">
        <x:v>66</x:v>
      </x:c>
      <x:c r="H339" s="10" t="n">
        <x:f>IF(F339=0,"无销量",D339*30/F339)</x:f>
        <x:v>2882</x:v>
      </x:c>
      <x:c r="I339" s="10" t="n">
        <x:f>IF(G339=0,"无销量",D339*90/G339)</x:f>
        <x:v>1965</x:v>
      </x:c>
    </x:row>
    <x:row r="340" ht="27" customHeight="1">
      <x:c r="A340" s="2" t="str">
        <x:v>PROD10331</x:v>
      </x:c>
      <x:c r="B340" s="2" t="str">
        <x:v>Home &amp; Kitchen</x:v>
      </x:c>
      <x:c r="C340" s="2" t="str">
        <x:v>Madan-Kanda Smart Home Decor</x:v>
      </x:c>
      <x:c r="D340" s="2" t="n">
        <x:v>1808</x:v>
      </x:c>
      <x:c r="E340" s="11" t="n">
        <x:v>46022.5</x:v>
      </x:c>
      <x:c r="F340" s="2" t="n">
        <x:v>71</x:v>
      </x:c>
      <x:c r="G340" s="2" t="n">
        <x:v>171</x:v>
      </x:c>
      <x:c r="H340" s="10" t="n">
        <x:f>IF(F340=0,"无销量",D340*30/F340)</x:f>
        <x:v>763.943661971831</x:v>
      </x:c>
      <x:c r="I340" s="10" t="n">
        <x:f>IF(G340=0,"无销量",D340*90/G340)</x:f>
        <x:v>951.578947368421</x:v>
      </x:c>
    </x:row>
    <x:row r="341" ht="27" customHeight="1">
      <x:c r="A341" s="2" t="str">
        <x:v>PROD10332</x:v>
      </x:c>
      <x:c r="B341" s="2" t="str">
        <x:v>Furniture</x:v>
      </x:c>
      <x:c r="C341" s="2" t="str">
        <x:v>Dugar, Classic Office Furniture</x:v>
      </x:c>
      <x:c r="D341" s="2" t="n">
        <x:v>2081</x:v>
      </x:c>
      <x:c r="E341" s="11" t="n">
        <x:v>46022.5</x:v>
      </x:c>
      <x:c r="F341" s="2" t="n">
        <x:v>43</x:v>
      </x:c>
      <x:c r="G341" s="2" t="n">
        <x:v>88</x:v>
      </x:c>
      <x:c r="H341" s="10" t="n">
        <x:f>IF(F341=0,"无销量",D341*30/F341)</x:f>
        <x:v>1451.860465116279</x:v>
      </x:c>
      <x:c r="I341" s="10" t="n">
        <x:f>IF(G341=0,"无销量",D341*90/G341)</x:f>
        <x:v>2128.2954545454545</x:v>
      </x:c>
    </x:row>
    <x:row r="342" ht="27" customHeight="1">
      <x:c r="A342" s="2" t="str">
        <x:v>PROD10333</x:v>
      </x:c>
      <x:c r="B342" s="2" t="str">
        <x:v>Appliances</x:v>
      </x:c>
      <x:c r="C342" s="2" t="str">
        <x:v>More, Premium Fans &amp; Cooler</x:v>
      </x:c>
      <x:c r="D342" s="2" t="n">
        <x:v>1888</x:v>
      </x:c>
      <x:c r="E342" s="11" t="n">
        <x:v>46022.5</x:v>
      </x:c>
      <x:c r="F342" s="2" t="n">
        <x:v>185</x:v>
      </x:c>
      <x:c r="G342" s="2" t="n">
        <x:v>456</x:v>
      </x:c>
      <x:c r="H342" s="10" t="n">
        <x:f>IF(F342=0,"无销量",D342*30/F342)</x:f>
        <x:v>306.1621621621622</x:v>
      </x:c>
      <x:c r="I342" s="10" t="n">
        <x:f>IF(G342=0,"无销量",D342*90/G342)</x:f>
        <x:v>372.63157894736844</x:v>
      </x:c>
    </x:row>
    <x:row r="343" ht="27" customHeight="1">
      <x:c r="A343" s="2" t="str">
        <x:v>PROD10334</x:v>
      </x:c>
      <x:c r="B343" s="2" t="str">
        <x:v>Grocery</x:v>
      </x:c>
      <x:c r="C343" s="2" t="str">
        <x:v>Mody-Kari Ultra Packaged Food</x:v>
      </x:c>
      <x:c r="D343" s="2" t="n">
        <x:v>2347</x:v>
      </x:c>
      <x:c r="E343" s="11" t="n">
        <x:v>46022.5</x:v>
      </x:c>
      <x:c r="F343" s="2" t="n">
        <x:v>13</x:v>
      </x:c>
      <x:c r="G343" s="2" t="n">
        <x:v>36</x:v>
      </x:c>
      <x:c r="H343" s="10" t="n">
        <x:f>IF(F343=0,"无销量",D343*30/F343)</x:f>
        <x:v>5416.153846153846</x:v>
      </x:c>
      <x:c r="I343" s="10" t="n">
        <x:f>IF(G343=0,"无销量",D343*90/G343)</x:f>
        <x:v>5867.5</x:v>
      </x:c>
    </x:row>
    <x:row r="344" ht="27" customHeight="1">
      <x:c r="A344" s="2" t="str">
        <x:v>PROD10335</x:v>
      </x:c>
      <x:c r="B344" s="2" t="str">
        <x:v>Pet Supplies</x:v>
      </x:c>
      <x:c r="C344" s="2" t="str">
        <x:v>Sunder, Compact Pet Food</x:v>
      </x:c>
      <x:c r="D344" s="2" t="n">
        <x:v>989</x:v>
      </x:c>
      <x:c r="E344" s="11" t="n">
        <x:v>46022.5</x:v>
      </x:c>
      <x:c r="F344" s="2" t="n">
        <x:v>237</x:v>
      </x:c>
      <x:c r="G344" s="2" t="n">
        <x:v>564</x:v>
      </x:c>
      <x:c r="H344" s="10" t="n">
        <x:f>IF(F344=0,"无销量",D344*30/F344)</x:f>
        <x:v>125.18987341772151</x:v>
      </x:c>
      <x:c r="I344" s="10" t="n">
        <x:f>IF(G344=0,"无销量",D344*90/G344)</x:f>
        <x:v>157.81914893617022</x:v>
      </x:c>
    </x:row>
    <x:row r="345" ht="27" customHeight="1">
      <x:c r="A345" s="2" t="str">
        <x:v>PROD10336</x:v>
      </x:c>
      <x:c r="B345" s="2" t="str">
        <x:v>Personal Care</x:v>
      </x:c>
      <x:c r="C345" s="2" t="str">
        <x:v>Gupta-Kumar Advanced Bath &amp; Body</x:v>
      </x:c>
      <x:c r="D345" s="2" t="n">
        <x:v>124</x:v>
      </x:c>
      <x:c r="E345" s="11" t="n">
        <x:v>46022.5</x:v>
      </x:c>
      <x:c r="F345" s="2" t="n">
        <x:v>7</x:v>
      </x:c>
      <x:c r="G345" s="2" t="n">
        <x:v>14</x:v>
      </x:c>
      <x:c r="H345" s="10" t="n">
        <x:f>IF(F345=0,"无销量",D345*30/F345)</x:f>
        <x:v>531.4285714285714</x:v>
      </x:c>
      <x:c r="I345" s="10" t="n">
        <x:f>IF(G345=0,"无销量",D345*90/G345)</x:f>
        <x:v>797.1428571428571</x:v>
      </x:c>
    </x:row>
    <x:row r="346" ht="27" customHeight="1">
      <x:c r="A346" s="2" t="str">
        <x:v>PROD10337</x:v>
      </x:c>
      <x:c r="B346" s="2" t="str">
        <x:v>Fashion</x:v>
      </x:c>
      <x:c r="C346" s="2" t="str">
        <x:v>Dash, Essential Women's Western Wear</x:v>
      </x:c>
      <x:c r="D346" s="2" t="n">
        <x:v>1892</x:v>
      </x:c>
      <x:c r="E346" s="11" t="n">
        <x:v>46022.5</x:v>
      </x:c>
      <x:c r="F346" s="2" t="n">
        <x:v>6</x:v>
      </x:c>
      <x:c r="G346" s="2" t="n">
        <x:v>6</x:v>
      </x:c>
      <x:c r="H346" s="10" t="n">
        <x:f>IF(F346=0,"无销量",D346*30/F346)</x:f>
        <x:v>9460</x:v>
      </x:c>
      <x:c r="I346" s="10" t="n">
        <x:f>IF(G346=0,"无销量",D346*90/G346)</x:f>
        <x:v>28380</x:v>
      </x:c>
    </x:row>
    <x:row r="347" ht="27" customHeight="1">
      <x:c r="A347" s="2" t="str">
        <x:v>PROD10338</x:v>
      </x:c>
      <x:c r="B347" s="2" t="str">
        <x:v>Personal Care</x:v>
      </x:c>
      <x:c r="C347" s="2" t="str">
        <x:v>Varma-Nayak Pro Bath &amp; Body</x:v>
      </x:c>
      <x:c r="D347" s="2" t="n">
        <x:v>2082</x:v>
      </x:c>
      <x:c r="E347" s="11" t="n">
        <x:v>46022.5</x:v>
      </x:c>
      <x:c r="F347" s="2" t="n">
        <x:v>25</x:v>
      </x:c>
      <x:c r="G347" s="2" t="n">
        <x:v>41</x:v>
      </x:c>
      <x:c r="H347" s="10" t="n">
        <x:f>IF(F347=0,"无销量",D347*30/F347)</x:f>
        <x:v>2498.4</x:v>
      </x:c>
      <x:c r="I347" s="10" t="n">
        <x:f>IF(G347=0,"无销量",D347*90/G347)</x:f>
        <x:v>4570.243902439024</x:v>
      </x:c>
    </x:row>
    <x:row r="348" ht="27" customHeight="1">
      <x:c r="A348" s="2" t="str">
        <x:v>PROD10339</x:v>
      </x:c>
      <x:c r="B348" s="2" t="str">
        <x:v>Electronics</x:v>
      </x:c>
      <x:c r="C348" s="2" t="str">
        <x:v>Goel Basic Headphone</x:v>
      </x:c>
      <x:c r="D348" s="2" t="n">
        <x:v>140</x:v>
      </x:c>
      <x:c r="E348" s="11" t="n">
        <x:v>46022.5</x:v>
      </x:c>
      <x:c r="F348" s="2" t="n">
        <x:v>39</x:v>
      </x:c>
      <x:c r="G348" s="2" t="n">
        <x:v>103</x:v>
      </x:c>
      <x:c r="H348" s="10" t="n">
        <x:f>IF(F348=0,"无销量",D348*30/F348)</x:f>
        <x:v>107.6923076923077</x:v>
      </x:c>
      <x:c r="I348" s="10" t="n">
        <x:f>IF(G348=0,"无销量",D348*90/G348)</x:f>
        <x:v>122.33009708737865</x:v>
      </x:c>
    </x:row>
    <x:row r="349" ht="27" customHeight="1">
      <x:c r="A349" s="2" t="str">
        <x:v>PROD10340</x:v>
      </x:c>
      <x:c r="B349" s="2" t="str">
        <x:v>Beauty</x:v>
      </x:c>
      <x:c r="C349" s="2" t="str">
        <x:v>Upadhyay Premium Fragrance</x:v>
      </x:c>
      <x:c r="D349" s="2" t="n">
        <x:v>372</x:v>
      </x:c>
      <x:c r="E349" s="11" t="n">
        <x:v>46022.5</x:v>
      </x:c>
      <x:c r="F349" s="2" t="n">
        <x:v>5</x:v>
      </x:c>
      <x:c r="G349" s="2" t="n">
        <x:v>19</x:v>
      </x:c>
      <x:c r="H349" s="10" t="n">
        <x:f>IF(F349=0,"无销量",D349*30/F349)</x:f>
        <x:v>2232</x:v>
      </x:c>
      <x:c r="I349" s="10" t="n">
        <x:f>IF(G349=0,"无销量",D349*90/G349)</x:f>
        <x:v>1762.1052631578948</x:v>
      </x:c>
    </x:row>
    <x:row r="350" ht="27" customHeight="1">
      <x:c r="A350" s="2" t="str">
        <x:v>PROD10341</x:v>
      </x:c>
      <x:c r="B350" s="2" t="str">
        <x:v>Fashion</x:v>
      </x:c>
      <x:c r="C350" s="2" t="str">
        <x:v>Solanki, Basic Winter Wear</x:v>
      </x:c>
      <x:c r="D350" s="2" t="n">
        <x:v>2630</x:v>
      </x:c>
      <x:c r="E350" s="11" t="n">
        <x:v>46022.5</x:v>
      </x:c>
      <x:c r="F350" s="2" t="n">
        <x:v>843</x:v>
      </x:c>
      <x:c r="G350" s="2" t="n">
        <x:v>2223</x:v>
      </x:c>
      <x:c r="H350" s="10" t="n">
        <x:f>IF(F350=0,"无销量",D350*30/F350)</x:f>
        <x:v>93.59430604982207</x:v>
      </x:c>
      <x:c r="I350" s="10" t="n">
        <x:f>IF(G350=0,"无销量",D350*90/G350)</x:f>
        <x:v>106.47773279352226</x:v>
      </x:c>
    </x:row>
    <x:row r="351" ht="27" customHeight="1">
      <x:c r="A351" s="2" t="str">
        <x:v>PROD10342</x:v>
      </x:c>
      <x:c r="B351" s="2" t="str">
        <x:v>Bags</x:v>
      </x:c>
      <x:c r="C351" s="2" t="str">
        <x:v>Kalla-Bhardwaj Compact Handbag</x:v>
      </x:c>
      <x:c r="D351" s="2" t="n">
        <x:v>1910</x:v>
      </x:c>
      <x:c r="E351" s="11" t="n">
        <x:v>46022.5</x:v>
      </x:c>
      <x:c r="F351" s="2" t="n">
        <x:v>10</x:v>
      </x:c>
      <x:c r="G351" s="2" t="n">
        <x:v>18</x:v>
      </x:c>
      <x:c r="H351" s="10" t="n">
        <x:f>IF(F351=0,"无销量",D351*30/F351)</x:f>
        <x:v>5730</x:v>
      </x:c>
      <x:c r="I351" s="10" t="n">
        <x:f>IF(G351=0,"无销量",D351*90/G351)</x:f>
        <x:v>9550</x:v>
      </x:c>
    </x:row>
    <x:row r="352" ht="27" customHeight="1">
      <x:c r="A352" s="2" t="str">
        <x:v>PROD10343</x:v>
      </x:c>
      <x:c r="B352" s="2" t="str">
        <x:v>Automotive Accessories</x:v>
      </x:c>
      <x:c r="C352" s="2" t="str">
        <x:v>Keer Ultra Car Accessorie</x:v>
      </x:c>
      <x:c r="D352" s="2" t="n">
        <x:v>572</x:v>
      </x:c>
      <x:c r="E352" s="11" t="n">
        <x:v>46022.5</x:v>
      </x:c>
      <x:c r="F352" s="2" t="n">
        <x:v>80</x:v>
      </x:c>
      <x:c r="G352" s="2" t="n">
        <x:v>215</x:v>
      </x:c>
      <x:c r="H352" s="10" t="n">
        <x:f>IF(F352=0,"无销量",D352*30/F352)</x:f>
        <x:v>214.5</x:v>
      </x:c>
      <x:c r="I352" s="10" t="n">
        <x:f>IF(G352=0,"无销量",D352*90/G352)</x:f>
        <x:v>239.4418604651163</x:v>
      </x:c>
    </x:row>
    <x:row r="353" ht="27" customHeight="1">
      <x:c r="A353" s="2" t="str">
        <x:v>PROD10344</x:v>
      </x:c>
      <x:c r="B353" s="2" t="str">
        <x:v>Health &amp; Wellness</x:v>
      </x:c>
      <x:c r="C353" s="2" t="str">
        <x:v>Amble Classic Supplement</x:v>
      </x:c>
      <x:c r="D353" s="2" t="n">
        <x:v>43</x:v>
      </x:c>
      <x:c r="E353" s="11" t="n">
        <x:v>46022.5</x:v>
      </x:c>
      <x:c r="F353" s="2" t="n">
        <x:v>18</x:v>
      </x:c>
      <x:c r="G353" s="2" t="n">
        <x:v>34</x:v>
      </x:c>
      <x:c r="H353" s="10" t="n">
        <x:f>IF(F353=0,"无销量",D353*30/F353)</x:f>
        <x:v>71.66666666666667</x:v>
      </x:c>
      <x:c r="I353" s="10" t="n">
        <x:f>IF(G353=0,"无销量",D353*90/G353)</x:f>
        <x:v>113.82352941176471</x:v>
      </x:c>
    </x:row>
    <x:row r="354" ht="27" customHeight="1">
      <x:c r="A354" s="2" t="str">
        <x:v>PROD10345</x:v>
      </x:c>
      <x:c r="B354" s="2" t="str">
        <x:v>Home &amp; Kitchen</x:v>
      </x:c>
      <x:c r="C354" s="2" t="str">
        <x:v>Rastogi, Advanced Home Decor</x:v>
      </x:c>
      <x:c r="D354" s="2" t="n">
        <x:v>817</x:v>
      </x:c>
      <x:c r="E354" s="11" t="n">
        <x:v>46022.5</x:v>
      </x:c>
      <x:c r="F354" s="2" t="n">
        <x:v>13</x:v>
      </x:c>
      <x:c r="G354" s="2" t="n">
        <x:v>47</x:v>
      </x:c>
      <x:c r="H354" s="10" t="n">
        <x:f>IF(F354=0,"无销量",D354*30/F354)</x:f>
        <x:v>1885.3846153846155</x:v>
      </x:c>
      <x:c r="I354" s="10" t="n">
        <x:f>IF(G354=0,"无销量",D354*90/G354)</x:f>
        <x:v>1564.468085106383</x:v>
      </x:c>
    </x:row>
    <x:row r="355" ht="27" customHeight="1">
      <x:c r="A355" s="2" t="str">
        <x:v>PROD10346</x:v>
      </x:c>
      <x:c r="B355" s="2" t="str">
        <x:v>Mobile Accessories</x:v>
      </x:c>
      <x:c r="C355" s="2" t="str">
        <x:v>Gupta-Kumar Basic Cable</x:v>
      </x:c>
      <x:c r="D355" s="2" t="n">
        <x:v>2060</x:v>
      </x:c>
      <x:c r="E355" s="11" t="n">
        <x:v>46022.5</x:v>
      </x:c>
      <x:c r="F355" s="2" t="n">
        <x:v>125</x:v>
      </x:c>
      <x:c r="G355" s="2" t="n">
        <x:v>369</x:v>
      </x:c>
      <x:c r="H355" s="10" t="n">
        <x:f>IF(F355=0,"无销量",D355*30/F355)</x:f>
        <x:v>494.4</x:v>
      </x:c>
      <x:c r="I355" s="10" t="n">
        <x:f>IF(G355=0,"无销量",D355*90/G355)</x:f>
        <x:v>502.4390243902439</x:v>
      </x:c>
    </x:row>
    <x:row r="356" ht="27" customHeight="1">
      <x:c r="A356" s="2" t="str">
        <x:v>PROD10347</x:v>
      </x:c>
      <x:c r="B356" s="2" t="str">
        <x:v>Grocery</x:v>
      </x:c>
      <x:c r="C356" s="2" t="str">
        <x:v>Murthy, Basic Beverage</x:v>
      </x:c>
      <x:c r="D356" s="2" t="n">
        <x:v>2078</x:v>
      </x:c>
      <x:c r="E356" s="11" t="n">
        <x:v>46022.5</x:v>
      </x:c>
      <x:c r="F356" s="2" t="n">
        <x:v>59</x:v>
      </x:c>
      <x:c r="G356" s="2" t="n">
        <x:v>177</x:v>
      </x:c>
      <x:c r="H356" s="10" t="n">
        <x:f>IF(F356=0,"无销量",D356*30/F356)</x:f>
        <x:v>1056.6101694915253</x:v>
      </x:c>
      <x:c r="I356" s="10" t="n">
        <x:f>IF(G356=0,"无销量",D356*90/G356)</x:f>
        <x:v>1056.6101694915253</x:v>
      </x:c>
    </x:row>
    <x:row r="357" ht="27" customHeight="1">
      <x:c r="A357" s="2" t="str">
        <x:v>PROD10348</x:v>
      </x:c>
      <x:c r="B357" s="2" t="str">
        <x:v>Bags</x:v>
      </x:c>
      <x:c r="C357" s="2" t="str">
        <x:v>Dixit Everyday Travel Bag</x:v>
      </x:c>
      <x:c r="D357" s="2" t="n">
        <x:v>2322</x:v>
      </x:c>
      <x:c r="E357" s="11" t="n">
        <x:v>46022.5</x:v>
      </x:c>
      <x:c r="F357" s="2" t="n">
        <x:v>80</x:v>
      </x:c>
      <x:c r="G357" s="2" t="n">
        <x:v>138</x:v>
      </x:c>
      <x:c r="H357" s="10" t="n">
        <x:f>IF(F357=0,"无销量",D357*30/F357)</x:f>
        <x:v>870.75</x:v>
      </x:c>
      <x:c r="I357" s="10" t="n">
        <x:f>IF(G357=0,"无销量",D357*90/G357)</x:f>
        <x:v>1514.3478260869565</x:v>
      </x:c>
    </x:row>
    <x:row r="358" ht="27" customHeight="1">
      <x:c r="A358" s="2" t="str">
        <x:v>PROD10349</x:v>
      </x:c>
      <x:c r="B358" s="2" t="str">
        <x:v>Appliances</x:v>
      </x:c>
      <x:c r="C358" s="2" t="str">
        <x:v>Gupta-Chandra Everyday Fans &amp; Cooler</x:v>
      </x:c>
      <x:c r="D358" s="2" t="n">
        <x:v>1508</x:v>
      </x:c>
      <x:c r="E358" s="11" t="n">
        <x:v>46022.5</x:v>
      </x:c>
      <x:c r="F358" s="2" t="n">
        <x:v>59</x:v>
      </x:c>
      <x:c r="G358" s="2" t="n">
        <x:v>192</x:v>
      </x:c>
      <x:c r="H358" s="10" t="n">
        <x:f>IF(F358=0,"无销量",D358*30/F358)</x:f>
        <x:v>766.7796610169491</x:v>
      </x:c>
      <x:c r="I358" s="10" t="n">
        <x:f>IF(G358=0,"无销量",D358*90/G358)</x:f>
        <x:v>706.875</x:v>
      </x:c>
    </x:row>
    <x:row r="359" ht="27" customHeight="1">
      <x:c r="A359" s="2" t="str">
        <x:v>PROD10350</x:v>
      </x:c>
      <x:c r="B359" s="2" t="str">
        <x:v>Appliances</x:v>
      </x:c>
      <x:c r="C359" s="2" t="str">
        <x:v>Mistry, Essential Large Appliance</x:v>
      </x:c>
      <x:c r="D359" s="2" t="n">
        <x:v>1665</x:v>
      </x:c>
      <x:c r="E359" s="11" t="n">
        <x:v>46022.5</x:v>
      </x:c>
      <x:c r="F359" s="2" t="n">
        <x:v>4</x:v>
      </x:c>
      <x:c r="G359" s="2" t="n">
        <x:v>19</x:v>
      </x:c>
      <x:c r="H359" s="10" t="n">
        <x:f>IF(F359=0,"无销量",D359*30/F359)</x:f>
        <x:v>12487.5</x:v>
      </x:c>
      <x:c r="I359" s="10" t="n">
        <x:f>IF(G359=0,"无销量",D359*90/G359)</x:f>
        <x:v>7886.8421052631575</x:v>
      </x:c>
    </x:row>
    <x:row r="360" ht="27" customHeight="1">
      <x:c r="A360" s="2" t="str">
        <x:v>PROD10351</x:v>
      </x:c>
      <x:c r="B360" s="2" t="str">
        <x:v>Toys</x:v>
      </x:c>
      <x:c r="C360" s="2" t="str">
        <x:v>Rai Deluxe Action Figure</x:v>
      </x:c>
      <x:c r="D360" s="2" t="n">
        <x:v>2664</x:v>
      </x:c>
      <x:c r="E360" s="11" t="n">
        <x:v>46022.5</x:v>
      </x:c>
      <x:c r="F360" s="2" t="n">
        <x:v>19</x:v>
      </x:c>
      <x:c r="G360" s="2" t="n">
        <x:v>41</x:v>
      </x:c>
      <x:c r="H360" s="10" t="n">
        <x:f>IF(F360=0,"无销量",D360*30/F360)</x:f>
        <x:v>4206.315789473684</x:v>
      </x:c>
      <x:c r="I360" s="10" t="n">
        <x:f>IF(G360=0,"无销量",D360*90/G360)</x:f>
        <x:v>5847.804878048781</x:v>
      </x:c>
    </x:row>
    <x:row r="361" ht="27" customHeight="1">
      <x:c r="A361" s="2" t="str">
        <x:v>PROD10352</x:v>
      </x:c>
      <x:c r="B361" s="2" t="str">
        <x:v>Bags</x:v>
      </x:c>
      <x:c r="C361" s="2" t="str">
        <x:v>Virk, Compact Wallet</x:v>
      </x:c>
      <x:c r="D361" s="2" t="n">
        <x:v>1664</x:v>
      </x:c>
      <x:c r="E361" s="11" t="n">
        <x:v>46022.5</x:v>
      </x:c>
      <x:c r="F361" s="2" t="n">
        <x:v>4</x:v>
      </x:c>
      <x:c r="G361" s="2" t="n">
        <x:v>5</x:v>
      </x:c>
      <x:c r="H361" s="10" t="n">
        <x:f>IF(F361=0,"无销量",D361*30/F361)</x:f>
        <x:v>12480</x:v>
      </x:c>
      <x:c r="I361" s="10" t="n">
        <x:f>IF(G361=0,"无销量",D361*90/G361)</x:f>
        <x:v>29952</x:v>
      </x:c>
    </x:row>
    <x:row r="362" ht="27" customHeight="1">
      <x:c r="A362" s="2" t="str">
        <x:v>PROD10353</x:v>
      </x:c>
      <x:c r="B362" s="2" t="str">
        <x:v>Personal Care</x:v>
      </x:c>
      <x:c r="C362" s="2" t="str">
        <x:v>Choudhury, Deluxe Bath &amp; Body</x:v>
      </x:c>
      <x:c r="D362" s="2" t="n">
        <x:v>2317</x:v>
      </x:c>
      <x:c r="E362" s="11" t="n">
        <x:v>46022.5</x:v>
      </x:c>
      <x:c r="F362" s="2" t="n">
        <x:v>19</x:v>
      </x:c>
      <x:c r="G362" s="2" t="n">
        <x:v>29</x:v>
      </x:c>
      <x:c r="H362" s="10" t="n">
        <x:f>IF(F362=0,"无销量",D362*30/F362)</x:f>
        <x:v>3658.4210526315787</x:v>
      </x:c>
      <x:c r="I362" s="10" t="n">
        <x:f>IF(G362=0,"无销量",D362*90/G362)</x:f>
        <x:v>7190.689655172414</x:v>
      </x:c>
    </x:row>
    <x:row r="363" ht="27" customHeight="1">
      <x:c r="A363" s="2" t="str">
        <x:v>PROD10354</x:v>
      </x:c>
      <x:c r="B363" s="2" t="str">
        <x:v>Fashion</x:v>
      </x:c>
      <x:c r="C363" s="2" t="str">
        <x:v>Ramakrishnan Signature Winter Wear</x:v>
      </x:c>
      <x:c r="D363" s="2" t="n">
        <x:v>1323</x:v>
      </x:c>
      <x:c r="E363" s="11" t="n">
        <x:v>46022.5</x:v>
      </x:c>
      <x:c r="F363" s="2" t="n">
        <x:v>16</x:v>
      </x:c>
      <x:c r="G363" s="2" t="n">
        <x:v>28</x:v>
      </x:c>
      <x:c r="H363" s="10" t="n">
        <x:f>IF(F363=0,"无销量",D363*30/F363)</x:f>
        <x:v>2480.625</x:v>
      </x:c>
      <x:c r="I363" s="10" t="n">
        <x:f>IF(G363=0,"无销量",D363*90/G363)</x:f>
        <x:v>4252.5</x:v>
      </x:c>
    </x:row>
    <x:row r="364" ht="27" customHeight="1">
      <x:c r="A364" s="2" t="str">
        <x:v>PROD10355</x:v>
      </x:c>
      <x:c r="B364" s="2" t="str">
        <x:v>Appliances</x:v>
      </x:c>
      <x:c r="C364" s="2" t="str">
        <x:v>Memon Everyday Fans &amp; Cooler</x:v>
      </x:c>
      <x:c r="D364" s="2" t="n">
        <x:v>288</x:v>
      </x:c>
      <x:c r="E364" s="11" t="n">
        <x:v>46022.5</x:v>
      </x:c>
      <x:c r="F364" s="2" t="n">
        <x:v>129</x:v>
      </x:c>
      <x:c r="G364" s="2" t="n">
        <x:v>330</x:v>
      </x:c>
      <x:c r="H364" s="10" t="n">
        <x:f>IF(F364=0,"无销量",D364*30/F364)</x:f>
        <x:v>66.97674418604652</x:v>
      </x:c>
      <x:c r="I364" s="10" t="n">
        <x:f>IF(G364=0,"无销量",D364*90/G364)</x:f>
        <x:v>78.54545454545455</x:v>
      </x:c>
    </x:row>
    <x:row r="365" ht="27" customHeight="1">
      <x:c r="A365" s="2" t="str">
        <x:v>PROD10356</x:v>
      </x:c>
      <x:c r="B365" s="2" t="str">
        <x:v>Sports</x:v>
      </x:c>
      <x:c r="C365" s="2" t="str">
        <x:v>Lal Smart Cycling</x:v>
      </x:c>
      <x:c r="D365" s="2" t="n">
        <x:v>1327</x:v>
      </x:c>
      <x:c r="E365" s="11" t="n">
        <x:v>46022.5</x:v>
      </x:c>
      <x:c r="F365" s="2" t="n">
        <x:v>25</x:v>
      </x:c>
      <x:c r="G365" s="2" t="n">
        <x:v>60</x:v>
      </x:c>
      <x:c r="H365" s="10" t="n">
        <x:f>IF(F365=0,"无销量",D365*30/F365)</x:f>
        <x:v>1592.4</x:v>
      </x:c>
      <x:c r="I365" s="10" t="n">
        <x:f>IF(G365=0,"无销量",D365*90/G365)</x:f>
        <x:v>1990.5</x:v>
      </x:c>
    </x:row>
    <x:row r="366" ht="27" customHeight="1">
      <x:c r="A366" s="2" t="str">
        <x:v>PROD10357</x:v>
      </x:c>
      <x:c r="B366" s="2" t="str">
        <x:v>Fashion</x:v>
      </x:c>
      <x:c r="C366" s="2" t="str">
        <x:v>Keer Compact Men's Bottomwear</x:v>
      </x:c>
      <x:c r="D366" s="2" t="n">
        <x:v>502</x:v>
      </x:c>
      <x:c r="E366" s="11" t="n">
        <x:v>46022.5</x:v>
      </x:c>
      <x:c r="F366" s="2" t="n">
        <x:v>8</x:v>
      </x:c>
      <x:c r="G366" s="2" t="n">
        <x:v>16</x:v>
      </x:c>
      <x:c r="H366" s="10" t="n">
        <x:f>IF(F366=0,"无销量",D366*30/F366)</x:f>
        <x:v>1882.5</x:v>
      </x:c>
      <x:c r="I366" s="10" t="n">
        <x:f>IF(G366=0,"无销量",D366*90/G366)</x:f>
        <x:v>2823.75</x:v>
      </x:c>
    </x:row>
    <x:row r="367" ht="27" customHeight="1">
      <x:c r="A367" s="2" t="str">
        <x:v>PROD10358</x:v>
      </x:c>
      <x:c r="B367" s="2" t="str">
        <x:v>Beauty</x:v>
      </x:c>
      <x:c r="C367" s="2" t="str">
        <x:v>Barad-Singhal Smart Fragrance</x:v>
      </x:c>
      <x:c r="D367" s="2" t="n">
        <x:v>2671</x:v>
      </x:c>
      <x:c r="E367" s="11" t="n">
        <x:v>46022.5</x:v>
      </x:c>
      <x:c r="F367" s="2" t="n">
        <x:v>46</x:v>
      </x:c>
      <x:c r="G367" s="2" t="n">
        <x:v>152</x:v>
      </x:c>
      <x:c r="H367" s="10" t="n">
        <x:f>IF(F367=0,"无销量",D367*30/F367)</x:f>
        <x:v>1741.9565217391305</x:v>
      </x:c>
      <x:c r="I367" s="10" t="n">
        <x:f>IF(G367=0,"无销量",D367*90/G367)</x:f>
        <x:v>1581.5131578947369</x:v>
      </x:c>
    </x:row>
    <x:row r="368" ht="27" customHeight="1">
      <x:c r="A368" s="2" t="str">
        <x:v>PROD10359</x:v>
      </x:c>
      <x:c r="B368" s="2" t="str">
        <x:v>Grocery</x:v>
      </x:c>
      <x:c r="C368" s="2" t="str">
        <x:v>Solanki, Signature Snack</x:v>
      </x:c>
      <x:c r="D368" s="2" t="n">
        <x:v>2060</x:v>
      </x:c>
      <x:c r="E368" s="11" t="n">
        <x:v>46022.5</x:v>
      </x:c>
      <x:c r="F368" s="2" t="n">
        <x:v>6</x:v>
      </x:c>
      <x:c r="G368" s="2" t="n">
        <x:v>20</x:v>
      </x:c>
      <x:c r="H368" s="10" t="n">
        <x:f>IF(F368=0,"无销量",D368*30/F368)</x:f>
        <x:v>10300</x:v>
      </x:c>
      <x:c r="I368" s="10" t="n">
        <x:f>IF(G368=0,"无销量",D368*90/G368)</x:f>
        <x:v>9270</x:v>
      </x:c>
    </x:row>
    <x:row r="369" ht="27" customHeight="1">
      <x:c r="A369" s="2" t="str">
        <x:v>PROD10360</x:v>
      </x:c>
      <x:c r="B369" s="2" t="str">
        <x:v>Grocery</x:v>
      </x:c>
      <x:c r="C369" s="2" t="str">
        <x:v>Narayanan Ultra Dairy</x:v>
      </x:c>
      <x:c r="D369" s="2" t="n">
        <x:v>67</x:v>
      </x:c>
      <x:c r="E369" s="11" t="n">
        <x:v>46022.5</x:v>
      </x:c>
      <x:c r="F369" s="2" t="n">
        <x:v>10</x:v>
      </x:c>
      <x:c r="G369" s="2" t="n">
        <x:v>36</x:v>
      </x:c>
      <x:c r="H369" s="10" t="n">
        <x:f>IF(F369=0,"无销量",D369*30/F369)</x:f>
        <x:v>201</x:v>
      </x:c>
      <x:c r="I369" s="10" t="n">
        <x:f>IF(G369=0,"无销量",D369*90/G369)</x:f>
        <x:v>167.5</x:v>
      </x:c>
    </x:row>
    <x:row r="370" ht="27" customHeight="1">
      <x:c r="A370" s="2" t="str">
        <x:v>PROD10361</x:v>
      </x:c>
      <x:c r="B370" s="2" t="str">
        <x:v>Appliances</x:v>
      </x:c>
      <x:c r="C370" s="2" t="str">
        <x:v>Sood Basic Kitchen Appliance</x:v>
      </x:c>
      <x:c r="D370" s="2" t="n">
        <x:v>231</x:v>
      </x:c>
      <x:c r="E370" s="11" t="n">
        <x:v>46022.5</x:v>
      </x:c>
      <x:c r="F370" s="2" t="n">
        <x:v>40</x:v>
      </x:c>
      <x:c r="G370" s="2" t="n">
        <x:v>73</x:v>
      </x:c>
      <x:c r="H370" s="10" t="n">
        <x:f>IF(F370=0,"无销量",D370*30/F370)</x:f>
        <x:v>173.25</x:v>
      </x:c>
      <x:c r="I370" s="10" t="n">
        <x:f>IF(G370=0,"无销量",D370*90/G370)</x:f>
        <x:v>284.7945205479452</x:v>
      </x:c>
    </x:row>
    <x:row r="371" ht="27" customHeight="1">
      <x:c r="A371" s="2" t="str">
        <x:v>PROD10362</x:v>
      </x:c>
      <x:c r="B371" s="2" t="str">
        <x:v>Watches</x:v>
      </x:c>
      <x:c r="C371" s="2" t="str">
        <x:v>Mittal, Ultra Smart Watche</x:v>
      </x:c>
      <x:c r="D371" s="2" t="n">
        <x:v>24</x:v>
      </x:c>
      <x:c r="E371" s="11" t="n">
        <x:v>46022.5</x:v>
      </x:c>
      <x:c r="F371" s="2" t="n">
        <x:v>62</x:v>
      </x:c>
      <x:c r="G371" s="2" t="n">
        <x:v>152</x:v>
      </x:c>
      <x:c r="H371" s="10" t="n">
        <x:f>IF(F371=0,"无销量",D371*30/F371)</x:f>
        <x:v>11.612903225806452</x:v>
      </x:c>
      <x:c r="I371" s="10" t="n">
        <x:f>IF(G371=0,"无销量",D371*90/G371)</x:f>
        <x:v>14.210526315789474</x:v>
      </x:c>
    </x:row>
    <x:row r="372" ht="27" customHeight="1">
      <x:c r="A372" s="2" t="str">
        <x:v>PROD10363</x:v>
      </x:c>
      <x:c r="B372" s="2" t="str">
        <x:v>Footwear</x:v>
      </x:c>
      <x:c r="C372" s="2" t="str">
        <x:v>Vaidya-D’Alia Premium Women's Casual</x:v>
      </x:c>
      <x:c r="D372" s="2" t="n">
        <x:v>1647</x:v>
      </x:c>
      <x:c r="E372" s="11" t="n">
        <x:v>46022.5</x:v>
      </x:c>
      <x:c r="F372" s="2" t="n">
        <x:v>30</x:v>
      </x:c>
      <x:c r="G372" s="2" t="n">
        <x:v>62</x:v>
      </x:c>
      <x:c r="H372" s="10" t="n">
        <x:f>IF(F372=0,"无销量",D372*30/F372)</x:f>
        <x:v>1647</x:v>
      </x:c>
      <x:c r="I372" s="10" t="n">
        <x:f>IF(G372=0,"无销量",D372*90/G372)</x:f>
        <x:v>2390.8064516129034</x:v>
      </x:c>
    </x:row>
    <x:row r="373" ht="27" customHeight="1">
      <x:c r="A373" s="2" t="str">
        <x:v>PROD10364</x:v>
      </x:c>
      <x:c r="B373" s="2" t="str">
        <x:v>Personal Care</x:v>
      </x:c>
      <x:c r="C373" s="2" t="str">
        <x:v>Sarin Signature Oral Care</x:v>
      </x:c>
      <x:c r="D373" s="2" t="n">
        <x:v>1842</x:v>
      </x:c>
      <x:c r="E373" s="11" t="n">
        <x:v>46022.5</x:v>
      </x:c>
      <x:c r="F373" s="2" t="n">
        <x:v>26</x:v>
      </x:c>
      <x:c r="G373" s="2" t="n">
        <x:v>42</x:v>
      </x:c>
      <x:c r="H373" s="10" t="n">
        <x:f>IF(F373=0,"无销量",D373*30/F373)</x:f>
        <x:v>2125.3846153846152</x:v>
      </x:c>
      <x:c r="I373" s="10" t="n">
        <x:f>IF(G373=0,"无销量",D373*90/G373)</x:f>
        <x:v>3947.1428571428573</x:v>
      </x:c>
    </x:row>
    <x:row r="374" ht="27" customHeight="1">
      <x:c r="A374" s="2" t="str">
        <x:v>PROD10365</x:v>
      </x:c>
      <x:c r="B374" s="2" t="str">
        <x:v>Bags</x:v>
      </x:c>
      <x:c r="C374" s="2" t="str">
        <x:v>Bhatti-Kakar Everyday Travel Bag</x:v>
      </x:c>
      <x:c r="D374" s="2" t="n">
        <x:v>564</x:v>
      </x:c>
      <x:c r="E374" s="11" t="n">
        <x:v>46022.5</x:v>
      </x:c>
      <x:c r="F374" s="2" t="n">
        <x:v>151</x:v>
      </x:c>
      <x:c r="G374" s="2" t="n">
        <x:v>347</x:v>
      </x:c>
      <x:c r="H374" s="10" t="n">
        <x:f>IF(F374=0,"无销量",D374*30/F374)</x:f>
        <x:v>112.05298013245033</x:v>
      </x:c>
      <x:c r="I374" s="10" t="n">
        <x:f>IF(G374=0,"无销量",D374*90/G374)</x:f>
        <x:v>146.28242074927954</x:v>
      </x:c>
    </x:row>
    <x:row r="375" ht="27" customHeight="1">
      <x:c r="A375" s="2" t="str">
        <x:v>PROD10366</x:v>
      </x:c>
      <x:c r="B375" s="2" t="str">
        <x:v>Fashion</x:v>
      </x:c>
      <x:c r="C375" s="2" t="str">
        <x:v>Ghosh-Mitra Everyday Men's Topwear</x:v>
      </x:c>
      <x:c r="D375" s="2" t="n">
        <x:v>219</x:v>
      </x:c>
      <x:c r="E375" s="11" t="n">
        <x:v>46022.5</x:v>
      </x:c>
      <x:c r="F375" s="2" t="n">
        <x:v>285</x:v>
      </x:c>
      <x:c r="G375" s="2" t="n">
        <x:v>806</x:v>
      </x:c>
      <x:c r="H375" s="10" t="n">
        <x:f>IF(F375=0,"无销量",D375*30/F375)</x:f>
        <x:v>23.05263157894737</x:v>
      </x:c>
      <x:c r="I375" s="10" t="n">
        <x:f>IF(G375=0,"无销量",D375*90/G375)</x:f>
        <x:v>24.45409429280397</x:v>
      </x:c>
    </x:row>
    <x:row r="376" ht="27" customHeight="1">
      <x:c r="A376" s="2" t="str">
        <x:v>PROD10367</x:v>
      </x:c>
      <x:c r="B376" s="2" t="str">
        <x:v>Fashion</x:v>
      </x:c>
      <x:c r="C376" s="2" t="str">
        <x:v>Apte-Contractor Ultra Men's Topwear</x:v>
      </x:c>
      <x:c r="D376" s="2" t="n">
        <x:v>61</x:v>
      </x:c>
      <x:c r="E376" s="11" t="n">
        <x:v>46022.5</x:v>
      </x:c>
      <x:c r="F376" s="2" t="n">
        <x:v>399</x:v>
      </x:c>
      <x:c r="G376" s="2" t="n">
        <x:v>952</x:v>
      </x:c>
      <x:c r="H376" s="10" t="n">
        <x:f>IF(F376=0,"无销量",D376*30/F376)</x:f>
        <x:v>4.586466165413534</x:v>
      </x:c>
      <x:c r="I376" s="10" t="n">
        <x:f>IF(G376=0,"无销量",D376*90/G376)</x:f>
        <x:v>5.766806722689076</x:v>
      </x:c>
    </x:row>
    <x:row r="377" ht="27" customHeight="1">
      <x:c r="A377" s="2" t="str">
        <x:v>PROD10368</x:v>
      </x:c>
      <x:c r="B377" s="2" t="str">
        <x:v>Books</x:v>
      </x:c>
      <x:c r="C377" s="2" t="str">
        <x:v>Pant-Kadakia Everyday Non-Fiction</x:v>
      </x:c>
      <x:c r="D377" s="2" t="n">
        <x:v>1695</x:v>
      </x:c>
      <x:c r="E377" s="11" t="n">
        <x:v>46022.5</x:v>
      </x:c>
      <x:c r="F377" s="2" t="n">
        <x:v>84</x:v>
      </x:c>
      <x:c r="G377" s="2" t="n">
        <x:v>163</x:v>
      </x:c>
      <x:c r="H377" s="10" t="n">
        <x:f>IF(F377=0,"无销量",D377*30/F377)</x:f>
        <x:v>605.3571428571429</x:v>
      </x:c>
      <x:c r="I377" s="10" t="n">
        <x:f>IF(G377=0,"无销量",D377*90/G377)</x:f>
        <x:v>935.8895705521472</x:v>
      </x:c>
    </x:row>
    <x:row r="378" ht="27" customHeight="1">
      <x:c r="A378" s="2" t="str">
        <x:v>PROD10369</x:v>
      </x:c>
      <x:c r="B378" s="2" t="str">
        <x:v>Furniture</x:v>
      </x:c>
      <x:c r="C378" s="2" t="str">
        <x:v>Baral, Signature Office Furniture</x:v>
      </x:c>
      <x:c r="D378" s="2" t="n">
        <x:v>1128</x:v>
      </x:c>
      <x:c r="E378" s="11" t="n">
        <x:v>46022.5</x:v>
      </x:c>
      <x:c r="F378" s="2" t="n">
        <x:v>28</x:v>
      </x:c>
      <x:c r="G378" s="2" t="n">
        <x:v>56</x:v>
      </x:c>
      <x:c r="H378" s="10" t="n">
        <x:f>IF(F378=0,"无销量",D378*30/F378)</x:f>
        <x:v>1208.5714285714287</x:v>
      </x:c>
      <x:c r="I378" s="10" t="n">
        <x:f>IF(G378=0,"无销量",D378*90/G378)</x:f>
        <x:v>1812.857142857143</x:v>
      </x:c>
    </x:row>
    <x:row r="379" ht="27" customHeight="1">
      <x:c r="A379" s="2" t="str">
        <x:v>PROD10370</x:v>
      </x:c>
      <x:c r="B379" s="2" t="str">
        <x:v>Beauty</x:v>
      </x:c>
      <x:c r="C379" s="2" t="str">
        <x:v>Loke, Smart Fragrance</x:v>
      </x:c>
      <x:c r="D379" s="2" t="n">
        <x:v>1603</x:v>
      </x:c>
      <x:c r="E379" s="11" t="n">
        <x:v>46022.5</x:v>
      </x:c>
      <x:c r="F379" s="2" t="n">
        <x:v>57</x:v>
      </x:c>
      <x:c r="G379" s="2" t="n">
        <x:v>155</x:v>
      </x:c>
      <x:c r="H379" s="10" t="n">
        <x:f>IF(F379=0,"无销量",D379*30/F379)</x:f>
        <x:v>843.6842105263158</x:v>
      </x:c>
      <x:c r="I379" s="10" t="n">
        <x:f>IF(G379=0,"无销量",D379*90/G379)</x:f>
        <x:v>930.7741935483871</x:v>
      </x:c>
    </x:row>
    <x:row r="380" ht="27" customHeight="1">
      <x:c r="A380" s="2" t="str">
        <x:v>PROD10371</x:v>
      </x:c>
      <x:c r="B380" s="2" t="str">
        <x:v>Bags</x:v>
      </x:c>
      <x:c r="C380" s="2" t="str">
        <x:v>Sood Advanced Wallet</x:v>
      </x:c>
      <x:c r="D380" s="2" t="n">
        <x:v>2317</x:v>
      </x:c>
      <x:c r="E380" s="11" t="n">
        <x:v>46022.5</x:v>
      </x:c>
      <x:c r="F380" s="2" t="n">
        <x:v>70</x:v>
      </x:c>
      <x:c r="G380" s="2" t="n">
        <x:v>150</x:v>
      </x:c>
      <x:c r="H380" s="10" t="n">
        <x:f>IF(F380=0,"无销量",D380*30/F380)</x:f>
        <x:v>993</x:v>
      </x:c>
      <x:c r="I380" s="10" t="n">
        <x:f>IF(G380=0,"无销量",D380*90/G380)</x:f>
        <x:v>1390.2</x:v>
      </x:c>
    </x:row>
    <x:row r="381" ht="27" customHeight="1">
      <x:c r="A381" s="2" t="str">
        <x:v>PROD10372</x:v>
      </x:c>
      <x:c r="B381" s="2" t="str">
        <x:v>Footwear</x:v>
      </x:c>
      <x:c r="C381" s="2" t="str">
        <x:v>Kala-Vaidya Premium Sandals &amp; Flip Flop</x:v>
      </x:c>
      <x:c r="D381" s="2" t="n">
        <x:v>854</x:v>
      </x:c>
      <x:c r="E381" s="11" t="n">
        <x:v>46022.5</x:v>
      </x:c>
      <x:c r="F381" s="2" t="n">
        <x:v>113</x:v>
      </x:c>
      <x:c r="G381" s="2" t="n">
        <x:v>185</x:v>
      </x:c>
      <x:c r="H381" s="10" t="n">
        <x:f>IF(F381=0,"无销量",D381*30/F381)</x:f>
        <x:v>226.72566371681415</x:v>
      </x:c>
      <x:c r="I381" s="10" t="n">
        <x:f>IF(G381=0,"无销量",D381*90/G381)</x:f>
        <x:v>415.4594594594595</x:v>
      </x:c>
    </x:row>
    <x:row r="382" ht="27" customHeight="1">
      <x:c r="A382" s="2" t="str">
        <x:v>PROD10373</x:v>
      </x:c>
      <x:c r="B382" s="2" t="str">
        <x:v>Beauty</x:v>
      </x:c>
      <x:c r="C382" s="2" t="str">
        <x:v>Khanna, Advanced Skincare</x:v>
      </x:c>
      <x:c r="D382" s="2" t="n">
        <x:v>1709</x:v>
      </x:c>
      <x:c r="E382" s="11" t="n">
        <x:v>46022.5</x:v>
      </x:c>
      <x:c r="F382" s="2" t="n">
        <x:v>14</x:v>
      </x:c>
      <x:c r="G382" s="2" t="n">
        <x:v>47</x:v>
      </x:c>
      <x:c r="H382" s="10" t="n">
        <x:f>IF(F382=0,"无销量",D382*30/F382)</x:f>
        <x:v>3662.1428571428573</x:v>
      </x:c>
      <x:c r="I382" s="10" t="n">
        <x:f>IF(G382=0,"无销量",D382*90/G382)</x:f>
        <x:v>3272.553191489362</x:v>
      </x:c>
    </x:row>
    <x:row r="383" ht="27" customHeight="1">
      <x:c r="A383" s="2" t="str">
        <x:v>PROD10374</x:v>
      </x:c>
      <x:c r="B383" s="2" t="str">
        <x:v>Toys</x:v>
      </x:c>
      <x:c r="C383" s="2" t="str">
        <x:v>Bhargava, Basic Board Game</x:v>
      </x:c>
      <x:c r="D383" s="2" t="n">
        <x:v>1071</x:v>
      </x:c>
      <x:c r="E383" s="11" t="n">
        <x:v>46022.5</x:v>
      </x:c>
      <x:c r="F383" s="2" t="n">
        <x:v>103</x:v>
      </x:c>
      <x:c r="G383" s="2" t="n">
        <x:v>241</x:v>
      </x:c>
      <x:c r="H383" s="10" t="n">
        <x:f>IF(F383=0,"无销量",D383*30/F383)</x:f>
        <x:v>311.94174757281553</x:v>
      </x:c>
      <x:c r="I383" s="10" t="n">
        <x:f>IF(G383=0,"无销量",D383*90/G383)</x:f>
        <x:v>399.9585062240664</x:v>
      </x:c>
    </x:row>
    <x:row r="384" ht="27" customHeight="1">
      <x:c r="A384" s="2" t="str">
        <x:v>PROD10375</x:v>
      </x:c>
      <x:c r="B384" s="2" t="str">
        <x:v>Home &amp; Kitchen</x:v>
      </x:c>
      <x:c r="C384" s="2" t="str">
        <x:v>Ray, Classic Cookware</x:v>
      </x:c>
      <x:c r="D384" s="2" t="n">
        <x:v>1070</x:v>
      </x:c>
      <x:c r="E384" s="11" t="n">
        <x:v>46022.5</x:v>
      </x:c>
      <x:c r="F384" s="2" t="n">
        <x:v>9</x:v>
      </x:c>
      <x:c r="G384" s="2" t="n">
        <x:v>29</x:v>
      </x:c>
      <x:c r="H384" s="10" t="n">
        <x:f>IF(F384=0,"无销量",D384*30/F384)</x:f>
        <x:v>3566.6666666666665</x:v>
      </x:c>
      <x:c r="I384" s="10" t="n">
        <x:f>IF(G384=0,"无销量",D384*90/G384)</x:f>
        <x:v>3320.689655172414</x:v>
      </x:c>
    </x:row>
    <x:row r="385" ht="27" customHeight="1">
      <x:c r="A385" s="2" t="str">
        <x:v>PROD10376</x:v>
      </x:c>
      <x:c r="B385" s="2" t="str">
        <x:v>Electronics</x:v>
      </x:c>
      <x:c r="C385" s="2" t="str">
        <x:v>Bhatti-Kakar Everyday Speaker</x:v>
      </x:c>
      <x:c r="D385" s="2" t="n">
        <x:v>1838</x:v>
      </x:c>
      <x:c r="E385" s="11" t="n">
        <x:v>46022.5</x:v>
      </x:c>
      <x:c r="F385" s="2" t="n">
        <x:v>102</x:v>
      </x:c>
      <x:c r="G385" s="2" t="n">
        <x:v>295</x:v>
      </x:c>
      <x:c r="H385" s="10" t="n">
        <x:f>IF(F385=0,"无销量",D385*30/F385)</x:f>
        <x:v>540.5882352941177</x:v>
      </x:c>
      <x:c r="I385" s="10" t="n">
        <x:f>IF(G385=0,"无销量",D385*90/G385)</x:f>
        <x:v>560.7457627118644</x:v>
      </x:c>
    </x:row>
    <x:row r="386" ht="27" customHeight="1">
      <x:c r="A386" s="2" t="str">
        <x:v>PROD10377</x:v>
      </x:c>
      <x:c r="B386" s="2" t="str">
        <x:v>Stationery</x:v>
      </x:c>
      <x:c r="C386" s="2" t="str">
        <x:v>Ramakrishnan Premium Pens &amp; Pencil</x:v>
      </x:c>
      <x:c r="D386" s="2" t="n">
        <x:v>2411</x:v>
      </x:c>
      <x:c r="E386" s="11" t="n">
        <x:v>46022.5</x:v>
      </x:c>
      <x:c r="F386" s="2" t="n">
        <x:v>19</x:v>
      </x:c>
      <x:c r="G386" s="2" t="n">
        <x:v>34</x:v>
      </x:c>
      <x:c r="H386" s="10" t="n">
        <x:f>IF(F386=0,"无销量",D386*30/F386)</x:f>
        <x:v>3806.842105263158</x:v>
      </x:c>
      <x:c r="I386" s="10" t="n">
        <x:f>IF(G386=0,"无销量",D386*90/G386)</x:f>
        <x:v>6382.058823529412</x:v>
      </x:c>
    </x:row>
    <x:row r="387" ht="27" customHeight="1">
      <x:c r="A387" s="2" t="str">
        <x:v>PROD10378</x:v>
      </x:c>
      <x:c r="B387" s="2" t="str">
        <x:v>Health &amp; Wellness</x:v>
      </x:c>
      <x:c r="C387" s="2" t="str">
        <x:v>Grewal Premium Supplement</x:v>
      </x:c>
      <x:c r="D387" s="2" t="n">
        <x:v>282</x:v>
      </x:c>
      <x:c r="E387" s="11" t="n">
        <x:v>46022.5</x:v>
      </x:c>
      <x:c r="F387" s="2" t="n">
        <x:v>34</x:v>
      </x:c>
      <x:c r="G387" s="2" t="n">
        <x:v>93</x:v>
      </x:c>
      <x:c r="H387" s="10" t="n">
        <x:f>IF(F387=0,"无销量",D387*30/F387)</x:f>
        <x:v>248.8235294117647</x:v>
      </x:c>
      <x:c r="I387" s="10" t="n">
        <x:f>IF(G387=0,"无销量",D387*90/G387)</x:f>
        <x:v>272.9032258064516</x:v>
      </x:c>
    </x:row>
    <x:row r="388" ht="27" customHeight="1">
      <x:c r="A388" s="2" t="str">
        <x:v>PROD10379</x:v>
      </x:c>
      <x:c r="B388" s="2" t="str">
        <x:v>Stationery</x:v>
      </x:c>
      <x:c r="C388" s="2" t="str">
        <x:v>Andra Smart Art Supplie</x:v>
      </x:c>
      <x:c r="D388" s="2" t="n">
        <x:v>481</x:v>
      </x:c>
      <x:c r="E388" s="11" t="n">
        <x:v>46022.5</x:v>
      </x:c>
      <x:c r="F388" s="2" t="n">
        <x:v>118</x:v>
      </x:c>
      <x:c r="G388" s="2" t="n">
        <x:v>322</x:v>
      </x:c>
      <x:c r="H388" s="10" t="n">
        <x:f>IF(F388=0,"无销量",D388*30/F388)</x:f>
        <x:v>122.28813559322033</x:v>
      </x:c>
      <x:c r="I388" s="10" t="n">
        <x:f>IF(G388=0,"无销量",D388*90/G388)</x:f>
        <x:v>134.44099378881987</x:v>
      </x:c>
    </x:row>
    <x:row r="389" ht="27" customHeight="1">
      <x:c r="A389" s="2" t="str">
        <x:v>PROD10380</x:v>
      </x:c>
      <x:c r="B389" s="2" t="str">
        <x:v>Furniture</x:v>
      </x:c>
      <x:c r="C389" s="2" t="str">
        <x:v>Yadav, Essential Storage</x:v>
      </x:c>
      <x:c r="D389" s="2" t="n">
        <x:v>337</x:v>
      </x:c>
      <x:c r="E389" s="11" t="n">
        <x:v>46022.5</x:v>
      </x:c>
      <x:c r="F389" s="2" t="n">
        <x:v>92</x:v>
      </x:c>
      <x:c r="G389" s="2" t="n">
        <x:v>227</x:v>
      </x:c>
      <x:c r="H389" s="10" t="n">
        <x:f>IF(F389=0,"无销量",D389*30/F389)</x:f>
        <x:v>109.8913043478261</x:v>
      </x:c>
      <x:c r="I389" s="10" t="n">
        <x:f>IF(G389=0,"无销量",D389*90/G389)</x:f>
        <x:v>133.6123348017621</x:v>
      </x:c>
    </x:row>
    <x:row r="390" ht="27" customHeight="1">
      <x:c r="A390" s="2" t="str">
        <x:v>PROD10381</x:v>
      </x:c>
      <x:c r="B390" s="2" t="str">
        <x:v>Personal Care</x:v>
      </x:c>
      <x:c r="C390" s="2" t="str">
        <x:v>Sane, Signature Grooming</x:v>
      </x:c>
      <x:c r="D390" s="2" t="n">
        <x:v>1798</x:v>
      </x:c>
      <x:c r="E390" s="11" t="n">
        <x:v>46022.5</x:v>
      </x:c>
      <x:c r="F390" s="2" t="n">
        <x:v>27</x:v>
      </x:c>
      <x:c r="G390" s="2" t="n">
        <x:v>56</x:v>
      </x:c>
      <x:c r="H390" s="10" t="n">
        <x:f>IF(F390=0,"无销量",D390*30/F390)</x:f>
        <x:v>1997.7777777777778</x:v>
      </x:c>
      <x:c r="I390" s="10" t="n">
        <x:f>IF(G390=0,"无销量",D390*90/G390)</x:f>
        <x:v>2889.6428571428573</x:v>
      </x:c>
    </x:row>
    <x:row r="391" ht="27" customHeight="1">
      <x:c r="A391" s="2" t="str">
        <x:v>PROD10382</x:v>
      </x:c>
      <x:c r="B391" s="2" t="str">
        <x:v>Bags</x:v>
      </x:c>
      <x:c r="C391" s="2" t="str">
        <x:v>Zacharia Pro Handbag</x:v>
      </x:c>
      <x:c r="D391" s="2" t="n">
        <x:v>2375</x:v>
      </x:c>
      <x:c r="E391" s="11" t="n">
        <x:v>46022.5</x:v>
      </x:c>
      <x:c r="F391" s="2" t="n">
        <x:v>96</x:v>
      </x:c>
      <x:c r="G391" s="2" t="n">
        <x:v>226</x:v>
      </x:c>
      <x:c r="H391" s="10" t="n">
        <x:f>IF(F391=0,"无销量",D391*30/F391)</x:f>
        <x:v>742.1875</x:v>
      </x:c>
      <x:c r="I391" s="10" t="n">
        <x:f>IF(G391=0,"无销量",D391*90/G391)</x:f>
        <x:v>945.7964601769911</x:v>
      </x:c>
    </x:row>
    <x:row r="392" ht="27" customHeight="1">
      <x:c r="A392" s="2" t="str">
        <x:v>PROD10383</x:v>
      </x:c>
      <x:c r="B392" s="2" t="str">
        <x:v>Toys</x:v>
      </x:c>
      <x:c r="C392" s="2" t="str">
        <x:v>Mittal, Signature Educational Toy</x:v>
      </x:c>
      <x:c r="D392" s="2" t="n">
        <x:v>188</x:v>
      </x:c>
      <x:c r="E392" s="11" t="n">
        <x:v>46022.5</x:v>
      </x:c>
      <x:c r="F392" s="2" t="n">
        <x:v>105</x:v>
      </x:c>
      <x:c r="G392" s="2" t="n">
        <x:v>307</x:v>
      </x:c>
      <x:c r="H392" s="10" t="n">
        <x:f>IF(F392=0,"无销量",D392*30/F392)</x:f>
        <x:v>53.714285714285715</x:v>
      </x:c>
      <x:c r="I392" s="10" t="n">
        <x:f>IF(G392=0,"无销量",D392*90/G392)</x:f>
        <x:v>55.11400651465798</x:v>
      </x:c>
    </x:row>
    <x:row r="393" ht="27" customHeight="1">
      <x:c r="A393" s="2" t="str">
        <x:v>PROD10384</x:v>
      </x:c>
      <x:c r="B393" s="2" t="str">
        <x:v>Books</x:v>
      </x:c>
      <x:c r="C393" s="2" t="str">
        <x:v>Gupta-Kumar Signature Non-Fiction</x:v>
      </x:c>
      <x:c r="D393" s="2" t="n">
        <x:v>177</x:v>
      </x:c>
      <x:c r="E393" s="11" t="n">
        <x:v>46022.5</x:v>
      </x:c>
      <x:c r="F393" s="2" t="n">
        <x:v>24</x:v>
      </x:c>
      <x:c r="G393" s="2" t="n">
        <x:v>63</x:v>
      </x:c>
      <x:c r="H393" s="10" t="n">
        <x:f>IF(F393=0,"无销量",D393*30/F393)</x:f>
        <x:v>221.25</x:v>
      </x:c>
      <x:c r="I393" s="10" t="n">
        <x:f>IF(G393=0,"无销量",D393*90/G393)</x:f>
        <x:v>252.85714285714286</x:v>
      </x:c>
    </x:row>
    <x:row r="394" ht="27" customHeight="1">
      <x:c r="A394" s="2" t="str">
        <x:v>PROD10385</x:v>
      </x:c>
      <x:c r="B394" s="2" t="str">
        <x:v>Grocery</x:v>
      </x:c>
      <x:c r="C394" s="2" t="str">
        <x:v>Narayanan Everyday Snack</x:v>
      </x:c>
      <x:c r="D394" s="2" t="n">
        <x:v>2175</x:v>
      </x:c>
      <x:c r="E394" s="11" t="n">
        <x:v>46022.5</x:v>
      </x:c>
      <x:c r="F394" s="2" t="n">
        <x:v>47</x:v>
      </x:c>
      <x:c r="G394" s="2" t="n">
        <x:v>137</x:v>
      </x:c>
      <x:c r="H394" s="10" t="n">
        <x:f>IF(F394=0,"无销量",D394*30/F394)</x:f>
        <x:v>1388.2978723404256</x:v>
      </x:c>
      <x:c r="I394" s="10" t="n">
        <x:f>IF(G394=0,"无销量",D394*90/G394)</x:f>
        <x:v>1428.8321167883212</x:v>
      </x:c>
    </x:row>
    <x:row r="395" ht="27" customHeight="1">
      <x:c r="A395" s="2" t="str">
        <x:v>PROD10386</x:v>
      </x:c>
      <x:c r="B395" s="2" t="str">
        <x:v>Home &amp; Kitchen</x:v>
      </x:c>
      <x:c r="C395" s="2" t="str">
        <x:v>Iyengar Deluxe Storage &amp; Container</x:v>
      </x:c>
      <x:c r="D395" s="2" t="n">
        <x:v>1738</x:v>
      </x:c>
      <x:c r="E395" s="11" t="n">
        <x:v>46022.5</x:v>
      </x:c>
      <x:c r="F395" s="2" t="n">
        <x:v>25</x:v>
      </x:c>
      <x:c r="G395" s="2" t="n">
        <x:v>34</x:v>
      </x:c>
      <x:c r="H395" s="10" t="n">
        <x:f>IF(F395=0,"无销量",D395*30/F395)</x:f>
        <x:v>2085.6</x:v>
      </x:c>
      <x:c r="I395" s="10" t="n">
        <x:f>IF(G395=0,"无销量",D395*90/G395)</x:f>
        <x:v>4600.588235294118</x:v>
      </x:c>
    </x:row>
    <x:row r="396" ht="27" customHeight="1">
      <x:c r="A396" s="2" t="str">
        <x:v>PROD10387</x:v>
      </x:c>
      <x:c r="B396" s="2" t="str">
        <x:v>Fashion</x:v>
      </x:c>
      <x:c r="C396" s="2" t="str">
        <x:v>Chaudry, Everyday Winter Wear</x:v>
      </x:c>
      <x:c r="D396" s="2" t="n">
        <x:v>2823</x:v>
      </x:c>
      <x:c r="E396" s="11" t="n">
        <x:v>46022.5</x:v>
      </x:c>
      <x:c r="F396" s="2" t="n">
        <x:v>71</x:v>
      </x:c>
      <x:c r="G396" s="2" t="n">
        <x:v>173</x:v>
      </x:c>
      <x:c r="H396" s="10" t="n">
        <x:f>IF(F396=0,"无销量",D396*30/F396)</x:f>
        <x:v>1192.8169014084508</x:v>
      </x:c>
      <x:c r="I396" s="10" t="n">
        <x:f>IF(G396=0,"无销量",D396*90/G396)</x:f>
        <x:v>1468.612716763006</x:v>
      </x:c>
    </x:row>
    <x:row r="397" ht="27" customHeight="1">
      <x:c r="A397" s="2" t="str">
        <x:v>PROD10388</x:v>
      </x:c>
      <x:c r="B397" s="2" t="str">
        <x:v>Fashion</x:v>
      </x:c>
      <x:c r="C397" s="2" t="str">
        <x:v>Gara-Chad Pro Men's Bottomwear</x:v>
      </x:c>
      <x:c r="D397" s="2" t="n">
        <x:v>115</x:v>
      </x:c>
      <x:c r="E397" s="11" t="n">
        <x:v>46022.5</x:v>
      </x:c>
      <x:c r="F397" s="2" t="n">
        <x:v>2</x:v>
      </x:c>
      <x:c r="G397" s="2" t="n">
        <x:v>11</x:v>
      </x:c>
      <x:c r="H397" s="10" t="n">
        <x:f>IF(F397=0,"无销量",D397*30/F397)</x:f>
        <x:v>1725</x:v>
      </x:c>
      <x:c r="I397" s="10" t="n">
        <x:f>IF(G397=0,"无销量",D397*90/G397)</x:f>
        <x:v>940.9090909090909</x:v>
      </x:c>
    </x:row>
    <x:row r="398" ht="27" customHeight="1">
      <x:c r="A398" s="2" t="str">
        <x:v>PROD10389</x:v>
      </x:c>
      <x:c r="B398" s="2" t="str">
        <x:v>Mobile Accessories</x:v>
      </x:c>
      <x:c r="C398" s="2" t="str">
        <x:v>Gola Smart Charger</x:v>
      </x:c>
      <x:c r="D398" s="2" t="n">
        <x:v>128</x:v>
      </x:c>
      <x:c r="E398" s="11" t="n">
        <x:v>46022.5</x:v>
      </x:c>
      <x:c r="F398" s="2" t="n">
        <x:v>30</x:v>
      </x:c>
      <x:c r="G398" s="2" t="n">
        <x:v>67</x:v>
      </x:c>
      <x:c r="H398" s="10" t="n">
        <x:f>IF(F398=0,"无销量",D398*30/F398)</x:f>
        <x:v>128</x:v>
      </x:c>
      <x:c r="I398" s="10" t="n">
        <x:f>IF(G398=0,"无销量",D398*90/G398)</x:f>
        <x:v>171.9402985074627</x:v>
      </x:c>
    </x:row>
    <x:row r="399" ht="27" customHeight="1">
      <x:c r="A399" s="2" t="str">
        <x:v>PROD10390</x:v>
      </x:c>
      <x:c r="B399" s="2" t="str">
        <x:v>Grocery</x:v>
      </x:c>
      <x:c r="C399" s="2" t="str">
        <x:v>Ramakrishnan Advanced Packaged Food</x:v>
      </x:c>
      <x:c r="D399" s="2" t="n">
        <x:v>1568</x:v>
      </x:c>
      <x:c r="E399" s="11" t="n">
        <x:v>46022.5</x:v>
      </x:c>
      <x:c r="F399" s="2" t="n">
        <x:v>76</x:v>
      </x:c>
      <x:c r="G399" s="2" t="n">
        <x:v>244</x:v>
      </x:c>
      <x:c r="H399" s="10" t="n">
        <x:f>IF(F399=0,"无销量",D399*30/F399)</x:f>
        <x:v>618.9473684210526</x:v>
      </x:c>
      <x:c r="I399" s="10" t="n">
        <x:f>IF(G399=0,"无销量",D399*90/G399)</x:f>
        <x:v>578.360655737705</x:v>
      </x:c>
    </x:row>
    <x:row r="400" ht="27" customHeight="1">
      <x:c r="A400" s="2" t="str">
        <x:v>PROD10391</x:v>
      </x:c>
      <x:c r="B400" s="2" t="str">
        <x:v>Grocery</x:v>
      </x:c>
      <x:c r="C400" s="2" t="str">
        <x:v>Roy-Sibal Everyday Dairy</x:v>
      </x:c>
      <x:c r="D400" s="2" t="n">
        <x:v>1669</x:v>
      </x:c>
      <x:c r="E400" s="11" t="n">
        <x:v>46022.5</x:v>
      </x:c>
      <x:c r="F400" s="2" t="n">
        <x:v>4</x:v>
      </x:c>
      <x:c r="G400" s="2" t="n">
        <x:v>17</x:v>
      </x:c>
      <x:c r="H400" s="10" t="n">
        <x:f>IF(F400=0,"无销量",D400*30/F400)</x:f>
        <x:v>12517.5</x:v>
      </x:c>
      <x:c r="I400" s="10" t="n">
        <x:f>IF(G400=0,"无销量",D400*90/G400)</x:f>
        <x:v>8835.882352941177</x:v>
      </x:c>
    </x:row>
    <x:row r="401" ht="27" customHeight="1">
      <x:c r="A401" s="2" t="str">
        <x:v>PROD10392</x:v>
      </x:c>
      <x:c r="B401" s="2" t="str">
        <x:v>Home &amp; Kitchen</x:v>
      </x:c>
      <x:c r="C401" s="2" t="str">
        <x:v>Gandhi-Lanka Ultra Storage &amp; Container</x:v>
      </x:c>
      <x:c r="D401" s="2" t="n">
        <x:v>764</x:v>
      </x:c>
      <x:c r="E401" s="11" t="n">
        <x:v>46022.5</x:v>
      </x:c>
      <x:c r="F401" s="2" t="n">
        <x:v>736</x:v>
      </x:c>
      <x:c r="G401" s="2" t="n">
        <x:v>1775</x:v>
      </x:c>
      <x:c r="H401" s="10" t="n">
        <x:f>IF(F401=0,"无销量",D401*30/F401)</x:f>
        <x:v>31.141304347826086</x:v>
      </x:c>
      <x:c r="I401" s="10" t="n">
        <x:f>IF(G401=0,"无销量",D401*90/G401)</x:f>
        <x:v>38.738028169014086</x:v>
      </x:c>
    </x:row>
    <x:row r="402" ht="27" customHeight="1">
      <x:c r="A402" s="2" t="str">
        <x:v>PROD10393</x:v>
      </x:c>
      <x:c r="B402" s="2" t="str">
        <x:v>Grocery</x:v>
      </x:c>
      <x:c r="C402" s="2" t="str">
        <x:v>Shanker-Dhar Essential Dairy</x:v>
      </x:c>
      <x:c r="D402" s="2" t="n">
        <x:v>2353</x:v>
      </x:c>
      <x:c r="E402" s="11" t="n">
        <x:v>46022.5</x:v>
      </x:c>
      <x:c r="F402" s="2" t="n">
        <x:v>64</x:v>
      </x:c>
      <x:c r="G402" s="2" t="n">
        <x:v>231</x:v>
      </x:c>
      <x:c r="H402" s="10" t="n">
        <x:f>IF(F402=0,"无销量",D402*30/F402)</x:f>
        <x:v>1102.96875</x:v>
      </x:c>
      <x:c r="I402" s="10" t="n">
        <x:f>IF(G402=0,"无销量",D402*90/G402)</x:f>
        <x:v>916.7532467532468</x:v>
      </x:c>
    </x:row>
    <x:row r="403" ht="27" customHeight="1">
      <x:c r="A403" s="2" t="str">
        <x:v>PROD10394</x:v>
      </x:c>
      <x:c r="B403" s="2" t="str">
        <x:v>Fashion</x:v>
      </x:c>
      <x:c r="C403" s="2" t="str">
        <x:v>Hayer, Smart Women's Western Wear</x:v>
      </x:c>
      <x:c r="D403" s="2" t="n">
        <x:v>367</x:v>
      </x:c>
      <x:c r="E403" s="11" t="n">
        <x:v>46022.5</x:v>
      </x:c>
      <x:c r="F403" s="2" t="n">
        <x:v>41</x:v>
      </x:c>
      <x:c r="G403" s="2" t="n">
        <x:v>98</x:v>
      </x:c>
      <x:c r="H403" s="10" t="n">
        <x:f>IF(F403=0,"无销量",D403*30/F403)</x:f>
        <x:v>268.5365853658537</x:v>
      </x:c>
      <x:c r="I403" s="10" t="n">
        <x:f>IF(G403=0,"无销量",D403*90/G403)</x:f>
        <x:v>337.0408163265306</x:v>
      </x:c>
    </x:row>
    <x:row r="404" ht="27" customHeight="1">
      <x:c r="A404" s="2" t="str">
        <x:v>PROD10395</x:v>
      </x:c>
      <x:c r="B404" s="2" t="str">
        <x:v>Fashion</x:v>
      </x:c>
      <x:c r="C404" s="2" t="str">
        <x:v>Gala Basic Kids Wear</x:v>
      </x:c>
      <x:c r="D404" s="2" t="n">
        <x:v>796</x:v>
      </x:c>
      <x:c r="E404" s="11" t="n">
        <x:v>46022.5</x:v>
      </x:c>
      <x:c r="F404" s="2" t="n">
        <x:v>10</x:v>
      </x:c>
      <x:c r="G404" s="2" t="n">
        <x:v>41</x:v>
      </x:c>
      <x:c r="H404" s="10" t="n">
        <x:f>IF(F404=0,"无销量",D404*30/F404)</x:f>
        <x:v>2388</x:v>
      </x:c>
      <x:c r="I404" s="10" t="n">
        <x:f>IF(G404=0,"无销量",D404*90/G404)</x:f>
        <x:v>1747.3170731707316</x:v>
      </x:c>
    </x:row>
    <x:row r="405" ht="27" customHeight="1">
      <x:c r="A405" s="2" t="str">
        <x:v>PROD10396</x:v>
      </x:c>
      <x:c r="B405" s="2" t="str">
        <x:v>Footwear</x:v>
      </x:c>
      <x:c r="C405" s="2" t="str">
        <x:v>Bala, Advanced Sports Shoe</x:v>
      </x:c>
      <x:c r="D405" s="2" t="n">
        <x:v>2824</x:v>
      </x:c>
      <x:c r="E405" s="11" t="n">
        <x:v>46022.5</x:v>
      </x:c>
      <x:c r="F405" s="2" t="n">
        <x:v>20</x:v>
      </x:c>
      <x:c r="G405" s="2" t="n">
        <x:v>54</x:v>
      </x:c>
      <x:c r="H405" s="10" t="n">
        <x:f>IF(F405=0,"无销量",D405*30/F405)</x:f>
        <x:v>4236</x:v>
      </x:c>
      <x:c r="I405" s="10" t="n">
        <x:f>IF(G405=0,"无销量",D405*90/G405)</x:f>
        <x:v>4706.666666666667</x:v>
      </x:c>
    </x:row>
    <x:row r="406" ht="27" customHeight="1">
      <x:c r="A406" s="2" t="str">
        <x:v>PROD10397</x:v>
      </x:c>
      <x:c r="B406" s="2" t="str">
        <x:v>Electronics</x:v>
      </x:c>
      <x:c r="C406" s="2" t="str">
        <x:v>Borra Premium Smartwatche</x:v>
      </x:c>
      <x:c r="D406" s="2" t="n">
        <x:v>334</x:v>
      </x:c>
      <x:c r="E406" s="11" t="n">
        <x:v>46022.5</x:v>
      </x:c>
      <x:c r="F406" s="2" t="n">
        <x:v>14</x:v>
      </x:c>
      <x:c r="G406" s="2" t="n">
        <x:v>51</x:v>
      </x:c>
      <x:c r="H406" s="10" t="n">
        <x:f>IF(F406=0,"无销量",D406*30/F406)</x:f>
        <x:v>715.7142857142857</x:v>
      </x:c>
      <x:c r="I406" s="10" t="n">
        <x:f>IF(G406=0,"无销量",D406*90/G406)</x:f>
        <x:v>589.4117647058823</x:v>
      </x:c>
    </x:row>
    <x:row r="407" ht="27" customHeight="1">
      <x:c r="A407" s="2" t="str">
        <x:v>PROD10398</x:v>
      </x:c>
      <x:c r="B407" s="2" t="str">
        <x:v>Books</x:v>
      </x:c>
      <x:c r="C407" s="2" t="str">
        <x:v>Lalla, Signature Comic</x:v>
      </x:c>
      <x:c r="D407" s="2" t="n">
        <x:v>1594</x:v>
      </x:c>
      <x:c r="E407" s="11" t="n">
        <x:v>46022.5</x:v>
      </x:c>
      <x:c r="F407" s="2" t="n">
        <x:v>10</x:v>
      </x:c>
      <x:c r="G407" s="2" t="n">
        <x:v>28</x:v>
      </x:c>
      <x:c r="H407" s="10" t="n">
        <x:f>IF(F407=0,"无销量",D407*30/F407)</x:f>
        <x:v>4782</x:v>
      </x:c>
      <x:c r="I407" s="10" t="n">
        <x:f>IF(G407=0,"无销量",D407*90/G407)</x:f>
        <x:v>5123.571428571428</x:v>
      </x:c>
    </x:row>
    <x:row r="408" ht="27" customHeight="1">
      <x:c r="A408" s="2" t="str">
        <x:v>PROD10399</x:v>
      </x:c>
      <x:c r="B408" s="2" t="str">
        <x:v>Grocery</x:v>
      </x:c>
      <x:c r="C408" s="2" t="str">
        <x:v>Ray Essential Dairy</x:v>
      </x:c>
      <x:c r="D408" s="2" t="n">
        <x:v>2411</x:v>
      </x:c>
      <x:c r="E408" s="11" t="n">
        <x:v>46022.5</x:v>
      </x:c>
      <x:c r="F408" s="2" t="n">
        <x:v>48</x:v>
      </x:c>
      <x:c r="G408" s="2" t="n">
        <x:v>116</x:v>
      </x:c>
      <x:c r="H408" s="10" t="n">
        <x:f>IF(F408=0,"无销量",D408*30/F408)</x:f>
        <x:v>1506.875</x:v>
      </x:c>
      <x:c r="I408" s="10" t="n">
        <x:f>IF(G408=0,"无销量",D408*90/G408)</x:f>
        <x:v>1870.603448275862</x:v>
      </x:c>
    </x:row>
    <x:row r="409" ht="27" customHeight="1">
      <x:c r="A409" s="2" t="str">
        <x:v>PROD10400</x:v>
      </x:c>
      <x:c r="B409" s="2" t="str">
        <x:v>Toys</x:v>
      </x:c>
      <x:c r="C409" s="2" t="str">
        <x:v>Karpe Advanced Board Game</x:v>
      </x:c>
      <x:c r="D409" s="2" t="n">
        <x:v>1198</x:v>
      </x:c>
      <x:c r="E409" s="11" t="n">
        <x:v>46022.5</x:v>
      </x:c>
      <x:c r="F409" s="2" t="n">
        <x:v>9</x:v>
      </x:c>
      <x:c r="G409" s="2" t="n">
        <x:v>34</x:v>
      </x:c>
      <x:c r="H409" s="10" t="n">
        <x:f>IF(F409=0,"无销量",D409*30/F409)</x:f>
        <x:v>3993.3333333333335</x:v>
      </x:c>
      <x:c r="I409" s="10" t="n">
        <x:f>IF(G409=0,"无销量",D409*90/G409)</x:f>
        <x:v>3171.176470588235</x:v>
      </x:c>
    </x:row>
    <x:row r="410" ht="27" customHeight="1">
      <x:c r="A410" s="2" t="str">
        <x:v>PROD10401</x:v>
      </x:c>
      <x:c r="B410" s="2" t="str">
        <x:v>Bags</x:v>
      </x:c>
      <x:c r="C410" s="2" t="str">
        <x:v>Roy-Sibal Advanced Handbag</x:v>
      </x:c>
      <x:c r="D410" s="2" t="n">
        <x:v>1207</x:v>
      </x:c>
      <x:c r="E410" s="11" t="n">
        <x:v>46022.5</x:v>
      </x:c>
      <x:c r="F410" s="2" t="n">
        <x:v>26</x:v>
      </x:c>
      <x:c r="G410" s="2" t="n">
        <x:v>67</x:v>
      </x:c>
      <x:c r="H410" s="10" t="n">
        <x:f>IF(F410=0,"无销量",D410*30/F410)</x:f>
        <x:v>1392.6923076923076</x:v>
      </x:c>
      <x:c r="I410" s="10" t="n">
        <x:f>IF(G410=0,"无销量",D410*90/G410)</x:f>
        <x:v>1621.3432835820895</x:v>
      </x:c>
    </x:row>
    <x:row r="411" ht="27" customHeight="1">
      <x:c r="A411" s="2" t="str">
        <x:v>PROD10402</x:v>
      </x:c>
      <x:c r="B411" s="2" t="str">
        <x:v>Home &amp; Kitchen</x:v>
      </x:c>
      <x:c r="C411" s="2" t="str">
        <x:v>Mutti Advanced Dinnerware</x:v>
      </x:c>
      <x:c r="D411" s="2" t="n">
        <x:v>2911</x:v>
      </x:c>
      <x:c r="E411" s="11" t="n">
        <x:v>46022.5</x:v>
      </x:c>
      <x:c r="F411" s="2" t="n">
        <x:v>39</x:v>
      </x:c>
      <x:c r="G411" s="2" t="n">
        <x:v>82</x:v>
      </x:c>
      <x:c r="H411" s="10" t="n">
        <x:f>IF(F411=0,"无销量",D411*30/F411)</x:f>
        <x:v>2239.230769230769</x:v>
      </x:c>
      <x:c r="I411" s="10" t="n">
        <x:f>IF(G411=0,"无销量",D411*90/G411)</x:f>
        <x:v>3195</x:v>
      </x:c>
    </x:row>
    <x:row r="412" ht="27" customHeight="1">
      <x:c r="A412" s="2" t="str">
        <x:v>PROD10403</x:v>
      </x:c>
      <x:c r="B412" s="2" t="str">
        <x:v>Fashion</x:v>
      </x:c>
      <x:c r="C412" s="2" t="str">
        <x:v>Chanda Deluxe Winter Wear</x:v>
      </x:c>
      <x:c r="D412" s="2" t="n">
        <x:v>2829</x:v>
      </x:c>
      <x:c r="E412" s="11" t="n">
        <x:v>46022.5</x:v>
      </x:c>
      <x:c r="F412" s="2" t="n">
        <x:v>1156</x:v>
      </x:c>
      <x:c r="G412" s="2" t="n">
        <x:v>2745</x:v>
      </x:c>
      <x:c r="H412" s="10" t="n">
        <x:f>IF(F412=0,"无销量",D412*30/F412)</x:f>
        <x:v>73.41695501730104</x:v>
      </x:c>
      <x:c r="I412" s="10" t="n">
        <x:f>IF(G412=0,"无销量",D412*90/G412)</x:f>
        <x:v>92.75409836065573</x:v>
      </x:c>
    </x:row>
    <x:row r="413" ht="27" customHeight="1">
      <x:c r="A413" s="2" t="str">
        <x:v>PROD10404</x:v>
      </x:c>
      <x:c r="B413" s="2" t="str">
        <x:v>Bags</x:v>
      </x:c>
      <x:c r="C413" s="2" t="str">
        <x:v>Sami, Signature Wallet</x:v>
      </x:c>
      <x:c r="D413" s="2" t="n">
        <x:v>1085</x:v>
      </x:c>
      <x:c r="E413" s="11" t="n">
        <x:v>46022.5</x:v>
      </x:c>
      <x:c r="F413" s="2" t="n">
        <x:v>19</x:v>
      </x:c>
      <x:c r="G413" s="2" t="n">
        <x:v>43</x:v>
      </x:c>
      <x:c r="H413" s="10" t="n">
        <x:f>IF(F413=0,"无销量",D413*30/F413)</x:f>
        <x:v>1713.157894736842</x:v>
      </x:c>
      <x:c r="I413" s="10" t="n">
        <x:f>IF(G413=0,"无销量",D413*90/G413)</x:f>
        <x:v>2270.9302325581393</x:v>
      </x:c>
    </x:row>
    <x:row r="414" ht="27" customHeight="1">
      <x:c r="A414" s="2" t="str">
        <x:v>PROD10405</x:v>
      </x:c>
      <x:c r="B414" s="2" t="str">
        <x:v>Books</x:v>
      </x:c>
      <x:c r="C414" s="2" t="str">
        <x:v>Dutta Classic Academic</x:v>
      </x:c>
      <x:c r="D414" s="2" t="n">
        <x:v>2672</x:v>
      </x:c>
      <x:c r="E414" s="11" t="n">
        <x:v>46022.5</x:v>
      </x:c>
      <x:c r="F414" s="2" t="n">
        <x:v>63</x:v>
      </x:c>
      <x:c r="G414" s="2" t="n">
        <x:v>131</x:v>
      </x:c>
      <x:c r="H414" s="10" t="n">
        <x:f>IF(F414=0,"无销量",D414*30/F414)</x:f>
        <x:v>1272.3809523809523</x:v>
      </x:c>
      <x:c r="I414" s="10" t="n">
        <x:f>IF(G414=0,"无销量",D414*90/G414)</x:f>
        <x:v>1835.7251908396947</x:v>
      </x:c>
    </x:row>
    <x:row r="415" ht="27" customHeight="1">
      <x:c r="A415" s="2" t="str">
        <x:v>PROD10406</x:v>
      </x:c>
      <x:c r="B415" s="2" t="str">
        <x:v>Home &amp; Kitchen</x:v>
      </x:c>
      <x:c r="C415" s="2" t="str">
        <x:v>Grewal Basic Storage &amp; Container</x:v>
      </x:c>
      <x:c r="D415" s="2" t="n">
        <x:v>878</x:v>
      </x:c>
      <x:c r="E415" s="11" t="n">
        <x:v>46022.5</x:v>
      </x:c>
      <x:c r="F415" s="2" t="n">
        <x:v>49</x:v>
      </x:c>
      <x:c r="G415" s="2" t="n">
        <x:v>99</x:v>
      </x:c>
      <x:c r="H415" s="10" t="n">
        <x:f>IF(F415=0,"无销量",D415*30/F415)</x:f>
        <x:v>537.5510204081633</x:v>
      </x:c>
      <x:c r="I415" s="10" t="n">
        <x:f>IF(G415=0,"无销量",D415*90/G415)</x:f>
        <x:v>798.1818181818181</x:v>
      </x:c>
    </x:row>
    <x:row r="416" ht="27" customHeight="1">
      <x:c r="A416" s="2" t="str">
        <x:v>PROD10407</x:v>
      </x:c>
      <x:c r="B416" s="2" t="str">
        <x:v>Footwear</x:v>
      </x:c>
      <x:c r="C416" s="2" t="str">
        <x:v>Naik Essential Sandals &amp; Flip Flop</x:v>
      </x:c>
      <x:c r="D416" s="2" t="n">
        <x:v>2101</x:v>
      </x:c>
      <x:c r="E416" s="11" t="n">
        <x:v>46022.5</x:v>
      </x:c>
      <x:c r="F416" s="2" t="n">
        <x:v>3</x:v>
      </x:c>
      <x:c r="G416" s="2" t="n">
        <x:v>6</x:v>
      </x:c>
      <x:c r="H416" s="10" t="n">
        <x:f>IF(F416=0,"无销量",D416*30/F416)</x:f>
        <x:v>21010</x:v>
      </x:c>
      <x:c r="I416" s="10" t="n">
        <x:f>IF(G416=0,"无销量",D416*90/G416)</x:f>
        <x:v>31515</x:v>
      </x:c>
    </x:row>
    <x:row r="417" ht="27" customHeight="1">
      <x:c r="A417" s="2" t="str">
        <x:v>PROD10408</x:v>
      </x:c>
      <x:c r="B417" s="2" t="str">
        <x:v>Grocery</x:v>
      </x:c>
      <x:c r="C417" s="2" t="str">
        <x:v>Kala-Vaidya Smart Snack</x:v>
      </x:c>
      <x:c r="D417" s="2" t="n">
        <x:v>2604</x:v>
      </x:c>
      <x:c r="E417" s="11" t="n">
        <x:v>46022.5</x:v>
      </x:c>
      <x:c r="F417" s="2" t="n">
        <x:v>106</x:v>
      </x:c>
      <x:c r="G417" s="2" t="n">
        <x:v>257</x:v>
      </x:c>
      <x:c r="H417" s="10" t="n">
        <x:f>IF(F417=0,"无销量",D417*30/F417)</x:f>
        <x:v>736.9811320754717</x:v>
      </x:c>
      <x:c r="I417" s="10" t="n">
        <x:f>IF(G417=0,"无销量",D417*90/G417)</x:f>
        <x:v>911.9066147859922</x:v>
      </x:c>
    </x:row>
    <x:row r="418" ht="27" customHeight="1">
      <x:c r="A418" s="2" t="str">
        <x:v>PROD10409</x:v>
      </x:c>
      <x:c r="B418" s="2" t="str">
        <x:v>Fashion</x:v>
      </x:c>
      <x:c r="C418" s="2" t="str">
        <x:v>Sarin Deluxe Kids Wear</x:v>
      </x:c>
      <x:c r="D418" s="2" t="n">
        <x:v>954</x:v>
      </x:c>
      <x:c r="E418" s="11" t="n">
        <x:v>46022.5</x:v>
      </x:c>
      <x:c r="F418" s="2" t="n">
        <x:v>22</x:v>
      </x:c>
      <x:c r="G418" s="2" t="n">
        <x:v>44</x:v>
      </x:c>
      <x:c r="H418" s="10" t="n">
        <x:f>IF(F418=0,"无销量",D418*30/F418)</x:f>
        <x:v>1300.909090909091</x:v>
      </x:c>
      <x:c r="I418" s="10" t="n">
        <x:f>IF(G418=0,"无销量",D418*90/G418)</x:f>
        <x:v>1951.3636363636363</x:v>
      </x:c>
    </x:row>
    <x:row r="419" ht="27" customHeight="1">
      <x:c r="A419" s="2" t="str">
        <x:v>PROD10410</x:v>
      </x:c>
      <x:c r="B419" s="2" t="str">
        <x:v>Mobile Accessories</x:v>
      </x:c>
      <x:c r="C419" s="2" t="str">
        <x:v>Bhagat, Everyday Cable</x:v>
      </x:c>
      <x:c r="D419" s="2" t="n">
        <x:v>823</x:v>
      </x:c>
      <x:c r="E419" s="11" t="n">
        <x:v>46022.5</x:v>
      </x:c>
      <x:c r="F419" s="2" t="n">
        <x:v>1</x:v>
      </x:c>
      <x:c r="G419" s="2" t="n">
        <x:v>15</x:v>
      </x:c>
      <x:c r="H419" s="10" t="n">
        <x:f>IF(F419=0,"无销量",D419*30/F419)</x:f>
        <x:v>24690</x:v>
      </x:c>
      <x:c r="I419" s="10" t="n">
        <x:f>IF(G419=0,"无销量",D419*90/G419)</x:f>
        <x:v>4938</x:v>
      </x:c>
    </x:row>
    <x:row r="420" ht="27" customHeight="1">
      <x:c r="A420" s="2" t="str">
        <x:v>PROD10411</x:v>
      </x:c>
      <x:c r="B420" s="2" t="str">
        <x:v>Appliances</x:v>
      </x:c>
      <x:c r="C420" s="2" t="str">
        <x:v>Baral, Classic Air Conditioner</x:v>
      </x:c>
      <x:c r="D420" s="2" t="n">
        <x:v>1752</x:v>
      </x:c>
      <x:c r="E420" s="11" t="n">
        <x:v>46022.5</x:v>
      </x:c>
      <x:c r="F420" s="2" t="n">
        <x:v>72</x:v>
      </x:c>
      <x:c r="G420" s="2" t="n">
        <x:v>195</x:v>
      </x:c>
      <x:c r="H420" s="10" t="n">
        <x:f>IF(F420=0,"无销量",D420*30/F420)</x:f>
        <x:v>730</x:v>
      </x:c>
      <x:c r="I420" s="10" t="n">
        <x:f>IF(G420=0,"无销量",D420*90/G420)</x:f>
        <x:v>808.6153846153846</x:v>
      </x:c>
    </x:row>
    <x:row r="421" ht="27" customHeight="1">
      <x:c r="A421" s="2" t="str">
        <x:v>PROD10412</x:v>
      </x:c>
      <x:c r="B421" s="2" t="str">
        <x:v>Home &amp; Kitchen</x:v>
      </x:c>
      <x:c r="C421" s="2" t="str">
        <x:v>Pant-Kadakia Pro Home Decor</x:v>
      </x:c>
      <x:c r="D421" s="2" t="n">
        <x:v>403</x:v>
      </x:c>
      <x:c r="E421" s="11" t="n">
        <x:v>46022.5</x:v>
      </x:c>
      <x:c r="F421" s="2" t="n">
        <x:v>19</x:v>
      </x:c>
      <x:c r="G421" s="2" t="n">
        <x:v>37</x:v>
      </x:c>
      <x:c r="H421" s="10" t="n">
        <x:f>IF(F421=0,"无销量",D421*30/F421)</x:f>
        <x:v>636.3157894736842</x:v>
      </x:c>
      <x:c r="I421" s="10" t="n">
        <x:f>IF(G421=0,"无销量",D421*90/G421)</x:f>
        <x:v>980.2702702702703</x:v>
      </x:c>
    </x:row>
    <x:row r="422" ht="27" customHeight="1">
      <x:c r="A422" s="2" t="str">
        <x:v>PROD10413</x:v>
      </x:c>
      <x:c r="B422" s="2" t="str">
        <x:v>Furniture</x:v>
      </x:c>
      <x:c r="C422" s="2" t="str">
        <x:v>Kade, Compact Bedroom</x:v>
      </x:c>
      <x:c r="D422" s="2" t="n">
        <x:v>893</x:v>
      </x:c>
      <x:c r="E422" s="11" t="n">
        <x:v>46022.5</x:v>
      </x:c>
      <x:c r="F422" s="2" t="n">
        <x:v>7</x:v>
      </x:c>
      <x:c r="G422" s="2" t="n">
        <x:v>21</x:v>
      </x:c>
      <x:c r="H422" s="10" t="n">
        <x:f>IF(F422=0,"无销量",D422*30/F422)</x:f>
        <x:v>3827.1428571428573</x:v>
      </x:c>
      <x:c r="I422" s="10" t="n">
        <x:f>IF(G422=0,"无销量",D422*90/G422)</x:f>
        <x:v>3827.1428571428573</x:v>
      </x:c>
    </x:row>
    <x:row r="423" ht="27" customHeight="1">
      <x:c r="A423" s="2" t="str">
        <x:v>PROD10414</x:v>
      </x:c>
      <x:c r="B423" s="2" t="str">
        <x:v>Home &amp; Kitchen</x:v>
      </x:c>
      <x:c r="C423" s="2" t="str">
        <x:v>Nair, Ultra Storage &amp; Container</x:v>
      </x:c>
      <x:c r="D423" s="2" t="n">
        <x:v>668</x:v>
      </x:c>
      <x:c r="E423" s="11" t="n">
        <x:v>46022.5</x:v>
      </x:c>
      <x:c r="F423" s="2" t="n">
        <x:v>57</x:v>
      </x:c>
      <x:c r="G423" s="2" t="n">
        <x:v>136</x:v>
      </x:c>
      <x:c r="H423" s="10" t="n">
        <x:f>IF(F423=0,"无销量",D423*30/F423)</x:f>
        <x:v>351.57894736842104</x:v>
      </x:c>
      <x:c r="I423" s="10" t="n">
        <x:f>IF(G423=0,"无销量",D423*90/G423)</x:f>
        <x:v>442.05882352941177</x:v>
      </x:c>
    </x:row>
    <x:row r="424" ht="27" customHeight="1">
      <x:c r="A424" s="2" t="str">
        <x:v>PROD10415</x:v>
      </x:c>
      <x:c r="B424" s="2" t="str">
        <x:v>Fashion</x:v>
      </x:c>
      <x:c r="C424" s="2" t="str">
        <x:v>Handa Compact Men's Topwear</x:v>
      </x:c>
      <x:c r="D424" s="2" t="n">
        <x:v>2226</x:v>
      </x:c>
      <x:c r="E424" s="11" t="n">
        <x:v>46022.5</x:v>
      </x:c>
      <x:c r="F424" s="2" t="n">
        <x:v>22</x:v>
      </x:c>
      <x:c r="G424" s="2" t="n">
        <x:v>54</x:v>
      </x:c>
      <x:c r="H424" s="10" t="n">
        <x:f>IF(F424=0,"无销量",D424*30/F424)</x:f>
        <x:v>3035.4545454545455</x:v>
      </x:c>
      <x:c r="I424" s="10" t="n">
        <x:f>IF(G424=0,"无销量",D424*90/G424)</x:f>
        <x:v>3710</x:v>
      </x:c>
    </x:row>
    <x:row r="425" ht="27" customHeight="1">
      <x:c r="A425" s="2" t="str">
        <x:v>PROD10416</x:v>
      </x:c>
      <x:c r="B425" s="2" t="str">
        <x:v>Books</x:v>
      </x:c>
      <x:c r="C425" s="2" t="str">
        <x:v>Barad-Singhal Smart Fiction</x:v>
      </x:c>
      <x:c r="D425" s="2" t="n">
        <x:v>1554</x:v>
      </x:c>
      <x:c r="E425" s="11" t="n">
        <x:v>46022.5</x:v>
      </x:c>
      <x:c r="F425" s="2" t="n">
        <x:v>63</x:v>
      </x:c>
      <x:c r="G425" s="2" t="n">
        <x:v>139</x:v>
      </x:c>
      <x:c r="H425" s="10" t="n">
        <x:f>IF(F425=0,"无销量",D425*30/F425)</x:f>
        <x:v>740</x:v>
      </x:c>
      <x:c r="I425" s="10" t="n">
        <x:f>IF(G425=0,"无销量",D425*90/G425)</x:f>
        <x:v>1006.1870503597122</x:v>
      </x:c>
    </x:row>
    <x:row r="426" ht="27" customHeight="1">
      <x:c r="A426" s="2" t="str">
        <x:v>PROD10417</x:v>
      </x:c>
      <x:c r="B426" s="2" t="str">
        <x:v>Appliances</x:v>
      </x:c>
      <x:c r="C426" s="2" t="str">
        <x:v>Goda Ultra Air Conditioner</x:v>
      </x:c>
      <x:c r="D426" s="2" t="n">
        <x:v>684</x:v>
      </x:c>
      <x:c r="E426" s="11" t="n">
        <x:v>46022.5</x:v>
      </x:c>
      <x:c r="F426" s="2" t="n">
        <x:v>666</x:v>
      </x:c>
      <x:c r="G426" s="2" t="n">
        <x:v>1667</x:v>
      </x:c>
      <x:c r="H426" s="10" t="n">
        <x:f>IF(F426=0,"无销量",D426*30/F426)</x:f>
        <x:v>30.81081081081081</x:v>
      </x:c>
      <x:c r="I426" s="10" t="n">
        <x:f>IF(G426=0,"无销量",D426*90/G426)</x:f>
        <x:v>36.92861427714457</x:v>
      </x:c>
    </x:row>
    <x:row r="427" ht="27" customHeight="1">
      <x:c r="A427" s="2" t="str">
        <x:v>PROD10418</x:v>
      </x:c>
      <x:c r="B427" s="2" t="str">
        <x:v>Personal Care</x:v>
      </x:c>
      <x:c r="C427" s="2" t="str">
        <x:v>Pingle Classic Grooming</x:v>
      </x:c>
      <x:c r="D427" s="2" t="n">
        <x:v>2924</x:v>
      </x:c>
      <x:c r="E427" s="11" t="n">
        <x:v>46022.5</x:v>
      </x:c>
      <x:c r="F427" s="2" t="n">
        <x:v>153</x:v>
      </x:c>
      <x:c r="G427" s="2" t="n">
        <x:v>286</x:v>
      </x:c>
      <x:c r="H427" s="10" t="n">
        <x:f>IF(F427=0,"无销量",D427*30/F427)</x:f>
        <x:v>573.3333333333334</x:v>
      </x:c>
      <x:c r="I427" s="10" t="n">
        <x:f>IF(G427=0,"无销量",D427*90/G427)</x:f>
        <x:v>920.1398601398602</x:v>
      </x:c>
    </x:row>
    <x:row r="428" ht="27" customHeight="1">
      <x:c r="A428" s="2" t="str">
        <x:v>PROD10419</x:v>
      </x:c>
      <x:c r="B428" s="2" t="str">
        <x:v>Mobile Accessories</x:v>
      </x:c>
      <x:c r="C428" s="2" t="str">
        <x:v>Rastogi Premium Cable</x:v>
      </x:c>
      <x:c r="D428" s="2" t="n">
        <x:v>2656</x:v>
      </x:c>
      <x:c r="E428" s="11" t="n">
        <x:v>46022.5</x:v>
      </x:c>
      <x:c r="F428" s="2" t="n">
        <x:v>65</x:v>
      </x:c>
      <x:c r="G428" s="2" t="n">
        <x:v>133</x:v>
      </x:c>
      <x:c r="H428" s="10" t="n">
        <x:f>IF(F428=0,"无销量",D428*30/F428)</x:f>
        <x:v>1225.8461538461538</x:v>
      </x:c>
      <x:c r="I428" s="10" t="n">
        <x:f>IF(G428=0,"无销量",D428*90/G428)</x:f>
        <x:v>1797.2932330827068</x:v>
      </x:c>
    </x:row>
    <x:row r="429" ht="27" customHeight="1">
      <x:c r="A429" s="2" t="str">
        <x:v>PROD10420</x:v>
      </x:c>
      <x:c r="B429" s="2" t="str">
        <x:v>Bags</x:v>
      </x:c>
      <x:c r="C429" s="2" t="str">
        <x:v>Karpe Advanced Travel Bag</x:v>
      </x:c>
      <x:c r="D429" s="2" t="n">
        <x:v>640</x:v>
      </x:c>
      <x:c r="E429" s="11" t="n">
        <x:v>46022.5</x:v>
      </x:c>
      <x:c r="F429" s="2" t="n">
        <x:v>11</x:v>
      </x:c>
      <x:c r="G429" s="2" t="n">
        <x:v>20</x:v>
      </x:c>
      <x:c r="H429" s="10" t="n">
        <x:f>IF(F429=0,"无销量",D429*30/F429)</x:f>
        <x:v>1745.4545454545455</x:v>
      </x:c>
      <x:c r="I429" s="10" t="n">
        <x:f>IF(G429=0,"无销量",D429*90/G429)</x:f>
        <x:v>2880</x:v>
      </x:c>
    </x:row>
    <x:row r="430" ht="27" customHeight="1">
      <x:c r="A430" s="2" t="str">
        <x:v>PROD10421</x:v>
      </x:c>
      <x:c r="B430" s="2" t="str">
        <x:v>Electronics</x:v>
      </x:c>
      <x:c r="C430" s="2" t="str">
        <x:v>Mody-Kari Basic Smartphone</x:v>
      </x:c>
      <x:c r="D430" s="2" t="n">
        <x:v>1063</x:v>
      </x:c>
      <x:c r="E430" s="11" t="n">
        <x:v>46022.5</x:v>
      </x:c>
      <x:c r="F430" s="2" t="n">
        <x:v>63</x:v>
      </x:c>
      <x:c r="G430" s="2" t="n">
        <x:v>165</x:v>
      </x:c>
      <x:c r="H430" s="10" t="n">
        <x:f>IF(F430=0,"无销量",D430*30/F430)</x:f>
        <x:v>506.1904761904762</x:v>
      </x:c>
      <x:c r="I430" s="10" t="n">
        <x:f>IF(G430=0,"无销量",D430*90/G430)</x:f>
        <x:v>579.8181818181819</x:v>
      </x:c>
    </x:row>
    <x:row r="431" ht="27" customHeight="1">
      <x:c r="A431" s="2" t="str">
        <x:v>PROD10422</x:v>
      </x:c>
      <x:c r="B431" s="2" t="str">
        <x:v>Home &amp; Kitchen</x:v>
      </x:c>
      <x:c r="C431" s="2" t="str">
        <x:v>Lala, Classic Storage &amp; Container</x:v>
      </x:c>
      <x:c r="D431" s="2" t="n">
        <x:v>2510</x:v>
      </x:c>
      <x:c r="E431" s="11" t="n">
        <x:v>46022.5</x:v>
      </x:c>
      <x:c r="F431" s="2" t="n">
        <x:v>151</x:v>
      </x:c>
      <x:c r="G431" s="2" t="n">
        <x:v>361</x:v>
      </x:c>
      <x:c r="H431" s="10" t="n">
        <x:f>IF(F431=0,"无销量",D431*30/F431)</x:f>
        <x:v>498.6754966887417</x:v>
      </x:c>
      <x:c r="I431" s="10" t="n">
        <x:f>IF(G431=0,"无销量",D431*90/G431)</x:f>
        <x:v>625.7617728531856</x:v>
      </x:c>
    </x:row>
    <x:row r="432" ht="27" customHeight="1">
      <x:c r="A432" s="2" t="str">
        <x:v>PROD10423</x:v>
      </x:c>
      <x:c r="B432" s="2" t="str">
        <x:v>Baby Care</x:v>
      </x:c>
      <x:c r="C432" s="2" t="str">
        <x:v>Parmer Premium Diaper</x:v>
      </x:c>
      <x:c r="D432" s="2" t="n">
        <x:v>2235</x:v>
      </x:c>
      <x:c r="E432" s="11" t="n">
        <x:v>46022.5</x:v>
      </x:c>
      <x:c r="F432" s="2" t="n">
        <x:v>8</x:v>
      </x:c>
      <x:c r="G432" s="2" t="n">
        <x:v>21</x:v>
      </x:c>
      <x:c r="H432" s="10" t="n">
        <x:f>IF(F432=0,"无销量",D432*30/F432)</x:f>
        <x:v>8381.25</x:v>
      </x:c>
      <x:c r="I432" s="10" t="n">
        <x:f>IF(G432=0,"无销量",D432*90/G432)</x:f>
        <x:v>9578.57142857143</x:v>
      </x:c>
    </x:row>
    <x:row r="433" ht="27" customHeight="1">
      <x:c r="A433" s="2" t="str">
        <x:v>PROD10424</x:v>
      </x:c>
      <x:c r="B433" s="2" t="str">
        <x:v>Grocery</x:v>
      </x:c>
      <x:c r="C433" s="2" t="str">
        <x:v>Vaidya-D’Alia Classic Beverage</x:v>
      </x:c>
      <x:c r="D433" s="2" t="n">
        <x:v>1507</x:v>
      </x:c>
      <x:c r="E433" s="11" t="n">
        <x:v>46022.5</x:v>
      </x:c>
      <x:c r="F433" s="2" t="n">
        <x:v>37</x:v>
      </x:c>
      <x:c r="G433" s="2" t="n">
        <x:v>94</x:v>
      </x:c>
      <x:c r="H433" s="10" t="n">
        <x:f>IF(F433=0,"无销量",D433*30/F433)</x:f>
        <x:v>1221.8918918918919</x:v>
      </x:c>
      <x:c r="I433" s="10" t="n">
        <x:f>IF(G433=0,"无销量",D433*90/G433)</x:f>
        <x:v>1442.872340425532</x:v>
      </x:c>
    </x:row>
    <x:row r="434" ht="27" customHeight="1">
      <x:c r="A434" s="2" t="str">
        <x:v>PROD10425</x:v>
      </x:c>
      <x:c r="B434" s="2" t="str">
        <x:v>Footwear</x:v>
      </x:c>
      <x:c r="C434" s="2" t="str">
        <x:v>Khanna, Compact Men's Casual</x:v>
      </x:c>
      <x:c r="D434" s="2" t="n">
        <x:v>1987</x:v>
      </x:c>
      <x:c r="E434" s="11" t="n">
        <x:v>46022.5</x:v>
      </x:c>
      <x:c r="F434" s="2" t="n">
        <x:v>15</x:v>
      </x:c>
      <x:c r="G434" s="2" t="n">
        <x:v>86</x:v>
      </x:c>
      <x:c r="H434" s="10" t="n">
        <x:f>IF(F434=0,"无销量",D434*30/F434)</x:f>
        <x:v>3974</x:v>
      </x:c>
      <x:c r="I434" s="10" t="n">
        <x:f>IF(G434=0,"无销量",D434*90/G434)</x:f>
        <x:v>2079.4186046511627</x:v>
      </x:c>
    </x:row>
    <x:row r="435" ht="27" customHeight="1">
      <x:c r="A435" s="2" t="str">
        <x:v>PROD10426</x:v>
      </x:c>
      <x:c r="B435" s="2" t="str">
        <x:v>Mobile Accessories</x:v>
      </x:c>
      <x:c r="C435" s="2" t="str">
        <x:v>D’Alia-Chhabra Everyday Cable</x:v>
      </x:c>
      <x:c r="D435" s="2" t="n">
        <x:v>2648</x:v>
      </x:c>
      <x:c r="E435" s="11" t="n">
        <x:v>46022.5</x:v>
      </x:c>
      <x:c r="F435" s="2" t="n">
        <x:v>5</x:v>
      </x:c>
      <x:c r="G435" s="2" t="n">
        <x:v>6</x:v>
      </x:c>
      <x:c r="H435" s="10" t="n">
        <x:f>IF(F435=0,"无销量",D435*30/F435)</x:f>
        <x:v>15888</x:v>
      </x:c>
      <x:c r="I435" s="10" t="n">
        <x:f>IF(G435=0,"无销量",D435*90/G435)</x:f>
        <x:v>39720</x:v>
      </x:c>
    </x:row>
    <x:row r="436" ht="27" customHeight="1">
      <x:c r="A436" s="2" t="str">
        <x:v>PROD10427</x:v>
      </x:c>
      <x:c r="B436" s="2" t="str">
        <x:v>Mobile Accessories</x:v>
      </x:c>
      <x:c r="C436" s="2" t="str">
        <x:v>Kala-Vaidya Ultra Phone Case</x:v>
      </x:c>
      <x:c r="D436" s="2" t="n">
        <x:v>1593</x:v>
      </x:c>
      <x:c r="E436" s="11" t="n">
        <x:v>46022.5</x:v>
      </x:c>
      <x:c r="F436" s="2" t="n">
        <x:v>9</x:v>
      </x:c>
      <x:c r="G436" s="2" t="n">
        <x:v>19</x:v>
      </x:c>
      <x:c r="H436" s="10" t="n">
        <x:f>IF(F436=0,"无销量",D436*30/F436)</x:f>
        <x:v>5310</x:v>
      </x:c>
      <x:c r="I436" s="10" t="n">
        <x:f>IF(G436=0,"无销量",D436*90/G436)</x:f>
        <x:v>7545.789473684211</x:v>
      </x:c>
    </x:row>
    <x:row r="437" ht="27" customHeight="1">
      <x:c r="A437" s="2" t="str">
        <x:v>PROD10428</x:v>
      </x:c>
      <x:c r="B437" s="2" t="str">
        <x:v>Grocery</x:v>
      </x:c>
      <x:c r="C437" s="2" t="str">
        <x:v>Setty Ultra Packaged Food</x:v>
      </x:c>
      <x:c r="D437" s="2" t="n">
        <x:v>833</x:v>
      </x:c>
      <x:c r="E437" s="11" t="n">
        <x:v>46022.5</x:v>
      </x:c>
      <x:c r="F437" s="2" t="n">
        <x:v>16</x:v>
      </x:c>
      <x:c r="G437" s="2" t="n">
        <x:v>25</x:v>
      </x:c>
      <x:c r="H437" s="10" t="n">
        <x:f>IF(F437=0,"无销量",D437*30/F437)</x:f>
        <x:v>1561.875</x:v>
      </x:c>
      <x:c r="I437" s="10" t="n">
        <x:f>IF(G437=0,"无销量",D437*90/G437)</x:f>
        <x:v>2998.8</x:v>
      </x:c>
    </x:row>
    <x:row r="438" ht="27" customHeight="1">
      <x:c r="A438" s="2" t="str">
        <x:v>PROD10429</x:v>
      </x:c>
      <x:c r="B438" s="2" t="str">
        <x:v>Watches</x:v>
      </x:c>
      <x:c r="C438" s="2" t="str">
        <x:v>Bhatti-Kakar Everyday Digital Watche</x:v>
      </x:c>
      <x:c r="D438" s="2" t="n">
        <x:v>1692</x:v>
      </x:c>
      <x:c r="E438" s="11" t="n">
        <x:v>46022.5</x:v>
      </x:c>
      <x:c r="F438" s="2" t="n">
        <x:v>98</x:v>
      </x:c>
      <x:c r="G438" s="2" t="n">
        <x:v>211</x:v>
      </x:c>
      <x:c r="H438" s="10" t="n">
        <x:f>IF(F438=0,"无销量",D438*30/F438)</x:f>
        <x:v>517.9591836734694</x:v>
      </x:c>
      <x:c r="I438" s="10" t="n">
        <x:f>IF(G438=0,"无销量",D438*90/G438)</x:f>
        <x:v>721.7061611374407</x:v>
      </x:c>
    </x:row>
    <x:row r="439" ht="27" customHeight="1">
      <x:c r="A439" s="2" t="str">
        <x:v>PROD10430</x:v>
      </x:c>
      <x:c r="B439" s="2" t="str">
        <x:v>Health &amp; Wellness</x:v>
      </x:c>
      <x:c r="C439" s="2" t="str">
        <x:v>Lala, Deluxe Medical Device</x:v>
      </x:c>
      <x:c r="D439" s="2" t="n">
        <x:v>700</x:v>
      </x:c>
      <x:c r="E439" s="11" t="n">
        <x:v>46022.5</x:v>
      </x:c>
      <x:c r="F439" s="2" t="n">
        <x:v>1</x:v>
      </x:c>
      <x:c r="G439" s="2" t="n">
        <x:v>11</x:v>
      </x:c>
      <x:c r="H439" s="10" t="n">
        <x:f>IF(F439=0,"无销量",D439*30/F439)</x:f>
        <x:v>21000</x:v>
      </x:c>
      <x:c r="I439" s="10" t="n">
        <x:f>IF(G439=0,"无销量",D439*90/G439)</x:f>
        <x:v>5727.272727272727</x:v>
      </x:c>
    </x:row>
    <x:row r="440" ht="27" customHeight="1">
      <x:c r="A440" s="2" t="str">
        <x:v>PROD10431</x:v>
      </x:c>
      <x:c r="B440" s="2" t="str">
        <x:v>Home &amp; Kitchen</x:v>
      </x:c>
      <x:c r="C440" s="2" t="str">
        <x:v>Palla Essential Cookware</x:v>
      </x:c>
      <x:c r="D440" s="2" t="n">
        <x:v>2708</x:v>
      </x:c>
      <x:c r="E440" s="11" t="n">
        <x:v>46022.5</x:v>
      </x:c>
      <x:c r="F440" s="2" t="n">
        <x:v>62</x:v>
      </x:c>
      <x:c r="G440" s="2" t="n">
        <x:v>156</x:v>
      </x:c>
      <x:c r="H440" s="10" t="n">
        <x:f>IF(F440=0,"无销量",D440*30/F440)</x:f>
        <x:v>1310.3225806451612</x:v>
      </x:c>
      <x:c r="I440" s="10" t="n">
        <x:f>IF(G440=0,"无销量",D440*90/G440)</x:f>
        <x:v>1562.3076923076924</x:v>
      </x:c>
    </x:row>
    <x:row r="441" ht="27" customHeight="1">
      <x:c r="A441" s="2" t="str">
        <x:v>PROD10432</x:v>
      </x:c>
      <x:c r="B441" s="2" t="str">
        <x:v>Appliances</x:v>
      </x:c>
      <x:c r="C441" s="2" t="str">
        <x:v>Gola Essential Fans &amp; Cooler</x:v>
      </x:c>
      <x:c r="D441" s="2" t="n">
        <x:v>2967</x:v>
      </x:c>
      <x:c r="E441" s="11" t="n">
        <x:v>46022.5</x:v>
      </x:c>
      <x:c r="F441" s="2" t="n">
        <x:v>61</x:v>
      </x:c>
      <x:c r="G441" s="2" t="n">
        <x:v>170</x:v>
      </x:c>
      <x:c r="H441" s="10" t="n">
        <x:f>IF(F441=0,"无销量",D441*30/F441)</x:f>
        <x:v>1459.1803278688524</x:v>
      </x:c>
      <x:c r="I441" s="10" t="n">
        <x:f>IF(G441=0,"无销量",D441*90/G441)</x:f>
        <x:v>1570.764705882353</x:v>
      </x:c>
    </x:row>
    <x:row r="442" ht="27" customHeight="1">
      <x:c r="A442" s="2" t="str">
        <x:v>PROD10433</x:v>
      </x:c>
      <x:c r="B442" s="2" t="str">
        <x:v>Home &amp; Kitchen</x:v>
      </x:c>
      <x:c r="C442" s="2" t="str">
        <x:v>Bhatti-Kakar Advanced Storage &amp; Container</x:v>
      </x:c>
      <x:c r="D442" s="2" t="n">
        <x:v>793</x:v>
      </x:c>
      <x:c r="E442" s="11" t="n">
        <x:v>46022.5</x:v>
      </x:c>
      <x:c r="F442" s="2" t="n">
        <x:v>39</x:v>
      </x:c>
      <x:c r="G442" s="2" t="n">
        <x:v>114</x:v>
      </x:c>
      <x:c r="H442" s="10" t="n">
        <x:f>IF(F442=0,"无销量",D442*30/F442)</x:f>
        <x:v>610</x:v>
      </x:c>
      <x:c r="I442" s="10" t="n">
        <x:f>IF(G442=0,"无销量",D442*90/G442)</x:f>
        <x:v>626.0526315789474</x:v>
      </x:c>
    </x:row>
    <x:row r="443" ht="27" customHeight="1">
      <x:c r="A443" s="2" t="str">
        <x:v>PROD10434</x:v>
      </x:c>
      <x:c r="B443" s="2" t="str">
        <x:v>Health &amp; Wellness</x:v>
      </x:c>
      <x:c r="C443" s="2" t="str">
        <x:v>Gara-Chad Advanced Ayurveda</x:v>
      </x:c>
      <x:c r="D443" s="2" t="n">
        <x:v>2932</x:v>
      </x:c>
      <x:c r="E443" s="11" t="n">
        <x:v>46022.5</x:v>
      </x:c>
      <x:c r="F443" s="2" t="n">
        <x:v>97</x:v>
      </x:c>
      <x:c r="G443" s="2" t="n">
        <x:v>241</x:v>
      </x:c>
      <x:c r="H443" s="10" t="n">
        <x:f>IF(F443=0,"无销量",D443*30/F443)</x:f>
        <x:v>906.8041237113403</x:v>
      </x:c>
      <x:c r="I443" s="10" t="n">
        <x:f>IF(G443=0,"无销量",D443*90/G443)</x:f>
        <x:v>1094.9377593360996</x:v>
      </x:c>
    </x:row>
    <x:row r="444" ht="27" customHeight="1">
      <x:c r="A444" s="2" t="str">
        <x:v>PROD10435</x:v>
      </x:c>
      <x:c r="B444" s="2" t="str">
        <x:v>Appliances</x:v>
      </x:c>
      <x:c r="C444" s="2" t="str">
        <x:v>Boase, Ultra Air Conditioner</x:v>
      </x:c>
      <x:c r="D444" s="2" t="n">
        <x:v>676</x:v>
      </x:c>
      <x:c r="E444" s="11" t="n">
        <x:v>46022.5</x:v>
      </x:c>
      <x:c r="F444" s="2" t="n">
        <x:v>126</x:v>
      </x:c>
      <x:c r="G444" s="2" t="n">
        <x:v>276</x:v>
      </x:c>
      <x:c r="H444" s="10" t="n">
        <x:f>IF(F444=0,"无销量",D444*30/F444)</x:f>
        <x:v>160.95238095238096</x:v>
      </x:c>
      <x:c r="I444" s="10" t="n">
        <x:f>IF(G444=0,"无销量",D444*90/G444)</x:f>
        <x:v>220.43478260869566</x:v>
      </x:c>
    </x:row>
    <x:row r="445" ht="27" customHeight="1">
      <x:c r="A445" s="2" t="str">
        <x:v>PROD10436</x:v>
      </x:c>
      <x:c r="B445" s="2" t="str">
        <x:v>Fashion</x:v>
      </x:c>
      <x:c r="C445" s="2" t="str">
        <x:v>Sunder, Classic Men's Bottomwear</x:v>
      </x:c>
      <x:c r="D445" s="2" t="n">
        <x:v>1147</x:v>
      </x:c>
      <x:c r="E445" s="11" t="n">
        <x:v>46022.5</x:v>
      </x:c>
      <x:c r="F445" s="2" t="n">
        <x:v>16</x:v>
      </x:c>
      <x:c r="G445" s="2" t="n">
        <x:v>50</x:v>
      </x:c>
      <x:c r="H445" s="10" t="n">
        <x:f>IF(F445=0,"无销量",D445*30/F445)</x:f>
        <x:v>2150.625</x:v>
      </x:c>
      <x:c r="I445" s="10" t="n">
        <x:f>IF(G445=0,"无销量",D445*90/G445)</x:f>
        <x:v>2064.6</x:v>
      </x:c>
    </x:row>
    <x:row r="446" ht="27" customHeight="1">
      <x:c r="A446" s="2" t="str">
        <x:v>PROD10437</x:v>
      </x:c>
      <x:c r="B446" s="2" t="str">
        <x:v>Grocery</x:v>
      </x:c>
      <x:c r="C446" s="2" t="str">
        <x:v>Nair, Advanced Dairy</x:v>
      </x:c>
      <x:c r="D446" s="2" t="n">
        <x:v>2275</x:v>
      </x:c>
      <x:c r="E446" s="11" t="n">
        <x:v>46022.5</x:v>
      </x:c>
      <x:c r="F446" s="2" t="n">
        <x:v>72</x:v>
      </x:c>
      <x:c r="G446" s="2" t="n">
        <x:v>164</x:v>
      </x:c>
      <x:c r="H446" s="10" t="n">
        <x:f>IF(F446=0,"无销量",D446*30/F446)</x:f>
        <x:v>947.9166666666666</x:v>
      </x:c>
      <x:c r="I446" s="10" t="n">
        <x:f>IF(G446=0,"无销量",D446*90/G446)</x:f>
        <x:v>1248.4756097560976</x:v>
      </x:c>
    </x:row>
    <x:row r="447" ht="27" customHeight="1">
      <x:c r="A447" s="2" t="str">
        <x:v>PROD10438</x:v>
      </x:c>
      <x:c r="B447" s="2" t="str">
        <x:v>Stationery</x:v>
      </x:c>
      <x:c r="C447" s="2" t="str">
        <x:v>Wali-Nadig Premium Pens &amp; Pencil</x:v>
      </x:c>
      <x:c r="D447" s="2" t="n">
        <x:v>2651</x:v>
      </x:c>
      <x:c r="E447" s="11" t="n">
        <x:v>46022.5</x:v>
      </x:c>
      <x:c r="F447" s="2" t="n">
        <x:v>20</x:v>
      </x:c>
      <x:c r="G447" s="2" t="n">
        <x:v>44</x:v>
      </x:c>
      <x:c r="H447" s="10" t="n">
        <x:f>IF(F447=0,"无销量",D447*30/F447)</x:f>
        <x:v>3976.5</x:v>
      </x:c>
      <x:c r="I447" s="10" t="n">
        <x:f>IF(G447=0,"无销量",D447*90/G447)</x:f>
        <x:v>5422.5</x:v>
      </x:c>
    </x:row>
    <x:row r="448" ht="27" customHeight="1">
      <x:c r="A448" s="2" t="str">
        <x:v>PROD10439</x:v>
      </x:c>
      <x:c r="B448" s="2" t="str">
        <x:v>Bags</x:v>
      </x:c>
      <x:c r="C448" s="2" t="str">
        <x:v>Koshy Essential Backpack</x:v>
      </x:c>
      <x:c r="D448" s="2" t="n">
        <x:v>998</x:v>
      </x:c>
      <x:c r="E448" s="11" t="n">
        <x:v>46022.5</x:v>
      </x:c>
      <x:c r="F448" s="2" t="n">
        <x:v>72</x:v>
      </x:c>
      <x:c r="G448" s="2" t="n">
        <x:v>179</x:v>
      </x:c>
      <x:c r="H448" s="10" t="n">
        <x:f>IF(F448=0,"无销量",D448*30/F448)</x:f>
        <x:v>415.8333333333333</x:v>
      </x:c>
      <x:c r="I448" s="10" t="n">
        <x:f>IF(G448=0,"无销量",D448*90/G448)</x:f>
        <x:v>501.7877094972067</x:v>
      </x:c>
    </x:row>
    <x:row r="449" ht="27" customHeight="1">
      <x:c r="A449" s="2" t="str">
        <x:v>PROD10440</x:v>
      </x:c>
      <x:c r="B449" s="2" t="str">
        <x:v>Automotive Accessories</x:v>
      </x:c>
      <x:c r="C449" s="2" t="str">
        <x:v>Soman Essential Car Accessorie</x:v>
      </x:c>
      <x:c r="D449" s="2" t="n">
        <x:v>2793</x:v>
      </x:c>
      <x:c r="E449" s="11" t="n">
        <x:v>46022.5</x:v>
      </x:c>
      <x:c r="F449" s="2" t="n">
        <x:v>75</x:v>
      </x:c>
      <x:c r="G449" s="2" t="n">
        <x:v>174</x:v>
      </x:c>
      <x:c r="H449" s="10" t="n">
        <x:f>IF(F449=0,"无销量",D449*30/F449)</x:f>
        <x:v>1117.2</x:v>
      </x:c>
      <x:c r="I449" s="10" t="n">
        <x:f>IF(G449=0,"无销量",D449*90/G449)</x:f>
        <x:v>1444.655172413793</x:v>
      </x:c>
    </x:row>
    <x:row r="450" ht="27" customHeight="1">
      <x:c r="A450" s="2" t="str">
        <x:v>PROD10441</x:v>
      </x:c>
      <x:c r="B450" s="2" t="str">
        <x:v>Furniture</x:v>
      </x:c>
      <x:c r="C450" s="2" t="str">
        <x:v>Keer Essential Living Room</x:v>
      </x:c>
      <x:c r="D450" s="2" t="n">
        <x:v>991</x:v>
      </x:c>
      <x:c r="E450" s="11" t="n">
        <x:v>46022.5</x:v>
      </x:c>
      <x:c r="F450" s="2" t="n">
        <x:v>12</x:v>
      </x:c>
      <x:c r="G450" s="2" t="n">
        <x:v>42</x:v>
      </x:c>
      <x:c r="H450" s="10" t="n">
        <x:f>IF(F450=0,"无销量",D450*30/F450)</x:f>
        <x:v>2477.5</x:v>
      </x:c>
      <x:c r="I450" s="10" t="n">
        <x:f>IF(G450=0,"无销量",D450*90/G450)</x:f>
        <x:v>2123.5714285714284</x:v>
      </x:c>
    </x:row>
    <x:row r="451" ht="27" customHeight="1">
      <x:c r="A451" s="2" t="str">
        <x:v>PROD10442</x:v>
      </x:c>
      <x:c r="B451" s="2" t="str">
        <x:v>Electronics</x:v>
      </x:c>
      <x:c r="C451" s="2" t="str">
        <x:v>Bhatt Essential Camera</x:v>
      </x:c>
      <x:c r="D451" s="2" t="n">
        <x:v>1121</x:v>
      </x:c>
      <x:c r="E451" s="11" t="n">
        <x:v>46022.5</x:v>
      </x:c>
      <x:c r="F451" s="2" t="n">
        <x:v>6</x:v>
      </x:c>
      <x:c r="G451" s="2" t="n">
        <x:v>23</x:v>
      </x:c>
      <x:c r="H451" s="10" t="n">
        <x:f>IF(F451=0,"无销量",D451*30/F451)</x:f>
        <x:v>5605</x:v>
      </x:c>
      <x:c r="I451" s="10" t="n">
        <x:f>IF(G451=0,"无销量",D451*90/G451)</x:f>
        <x:v>4386.521739130435</x:v>
      </x:c>
    </x:row>
    <x:row r="452" ht="27" customHeight="1">
      <x:c r="A452" s="2" t="str">
        <x:v>PROD10443</x:v>
      </x:c>
      <x:c r="B452" s="2" t="str">
        <x:v>Sports</x:v>
      </x:c>
      <x:c r="C452" s="2" t="str">
        <x:v>Yadav, Signature Yoga</x:v>
      </x:c>
      <x:c r="D452" s="2" t="n">
        <x:v>2197</x:v>
      </x:c>
      <x:c r="E452" s="11" t="n">
        <x:v>46022.5</x:v>
      </x:c>
      <x:c r="F452" s="2" t="n">
        <x:v>18</x:v>
      </x:c>
      <x:c r="G452" s="2" t="n">
        <x:v>53</x:v>
      </x:c>
      <x:c r="H452" s="10" t="n">
        <x:f>IF(F452=0,"无销量",D452*30/F452)</x:f>
        <x:v>3661.6666666666665</x:v>
      </x:c>
      <x:c r="I452" s="10" t="n">
        <x:f>IF(G452=0,"无销量",D452*90/G452)</x:f>
        <x:v>3730.754716981132</x:v>
      </x:c>
    </x:row>
    <x:row r="453" ht="27" customHeight="1">
      <x:c r="A453" s="2" t="str">
        <x:v>PROD10444</x:v>
      </x:c>
      <x:c r="B453" s="2" t="str">
        <x:v>Grocery</x:v>
      </x:c>
      <x:c r="C453" s="2" t="str">
        <x:v>Borra Pro Staple</x:v>
      </x:c>
      <x:c r="D453" s="2" t="n">
        <x:v>367</x:v>
      </x:c>
      <x:c r="E453" s="11" t="n">
        <x:v>46022.5</x:v>
      </x:c>
      <x:c r="F453" s="2" t="n">
        <x:v>46</x:v>
      </x:c>
      <x:c r="G453" s="2" t="n">
        <x:v>111</x:v>
      </x:c>
      <x:c r="H453" s="10" t="n">
        <x:f>IF(F453=0,"无销量",D453*30/F453)</x:f>
        <x:v>239.34782608695653</x:v>
      </x:c>
      <x:c r="I453" s="10" t="n">
        <x:f>IF(G453=0,"无销量",D453*90/G453)</x:f>
        <x:v>297.56756756756755</x:v>
      </x:c>
    </x:row>
    <x:row r="454" ht="27" customHeight="1">
      <x:c r="A454" s="2" t="str">
        <x:v>PROD10445</x:v>
      </x:c>
      <x:c r="B454" s="2" t="str">
        <x:v>Electronics</x:v>
      </x:c>
      <x:c r="C454" s="2" t="str">
        <x:v>Kala-Vaidya Deluxe Laptop</x:v>
      </x:c>
      <x:c r="D454" s="2" t="n">
        <x:v>1088</x:v>
      </x:c>
      <x:c r="E454" s="11" t="n">
        <x:v>46022.5</x:v>
      </x:c>
      <x:c r="F454" s="2" t="n">
        <x:v>95</x:v>
      </x:c>
      <x:c r="G454" s="2" t="n">
        <x:v>219</x:v>
      </x:c>
      <x:c r="H454" s="10" t="n">
        <x:f>IF(F454=0,"无销量",D454*30/F454)</x:f>
        <x:v>343.57894736842104</x:v>
      </x:c>
      <x:c r="I454" s="10" t="n">
        <x:f>IF(G454=0,"无销量",D454*90/G454)</x:f>
        <x:v>447.1232876712329</x:v>
      </x:c>
    </x:row>
    <x:row r="455" ht="27" customHeight="1">
      <x:c r="A455" s="2" t="str">
        <x:v>PROD10446</x:v>
      </x:c>
      <x:c r="B455" s="2" t="str">
        <x:v>Mobile Accessories</x:v>
      </x:c>
      <x:c r="C455" s="2" t="str">
        <x:v>Dewan-Koshy Advanced Cable</x:v>
      </x:c>
      <x:c r="D455" s="2" t="n">
        <x:v>1774</x:v>
      </x:c>
      <x:c r="E455" s="11" t="n">
        <x:v>46022.5</x:v>
      </x:c>
      <x:c r="F455" s="2" t="n">
        <x:v>38</x:v>
      </x:c>
      <x:c r="G455" s="2" t="n">
        <x:v>77</x:v>
      </x:c>
      <x:c r="H455" s="10" t="n">
        <x:f>IF(F455=0,"无销量",D455*30/F455)</x:f>
        <x:v>1400.5263157894738</x:v>
      </x:c>
      <x:c r="I455" s="10" t="n">
        <x:f>IF(G455=0,"无销量",D455*90/G455)</x:f>
        <x:v>2073.5064935064934</x:v>
      </x:c>
    </x:row>
    <x:row r="456" ht="27" customHeight="1">
      <x:c r="A456" s="2" t="str">
        <x:v>PROD10447</x:v>
      </x:c>
      <x:c r="B456" s="2" t="str">
        <x:v>Bags</x:v>
      </x:c>
      <x:c r="C456" s="2" t="str">
        <x:v>Dutta Premium Backpack</x:v>
      </x:c>
      <x:c r="D456" s="2" t="n">
        <x:v>1970</x:v>
      </x:c>
      <x:c r="E456" s="11" t="n">
        <x:v>46022.5</x:v>
      </x:c>
      <x:c r="F456" s="2" t="n">
        <x:v>2</x:v>
      </x:c>
      <x:c r="G456" s="2" t="n">
        <x:v>8</x:v>
      </x:c>
      <x:c r="H456" s="10" t="n">
        <x:f>IF(F456=0,"无销量",D456*30/F456)</x:f>
        <x:v>29550</x:v>
      </x:c>
      <x:c r="I456" s="10" t="n">
        <x:f>IF(G456=0,"无销量",D456*90/G456)</x:f>
        <x:v>22162.5</x:v>
      </x:c>
    </x:row>
    <x:row r="457" ht="27" customHeight="1">
      <x:c r="A457" s="2" t="str">
        <x:v>PROD10448</x:v>
      </x:c>
      <x:c r="B457" s="2" t="str">
        <x:v>Sports</x:v>
      </x:c>
      <x:c r="C457" s="2" t="str">
        <x:v>Khanna, Signature Yoga</x:v>
      </x:c>
      <x:c r="D457" s="2" t="n">
        <x:v>2048</x:v>
      </x:c>
      <x:c r="E457" s="11" t="n">
        <x:v>46022.5</x:v>
      </x:c>
      <x:c r="F457" s="2" t="n">
        <x:v>5</x:v>
      </x:c>
      <x:c r="G457" s="2" t="n">
        <x:v>13</x:v>
      </x:c>
      <x:c r="H457" s="10" t="n">
        <x:f>IF(F457=0,"无销量",D457*30/F457)</x:f>
        <x:v>12288</x:v>
      </x:c>
      <x:c r="I457" s="10" t="n">
        <x:f>IF(G457=0,"无销量",D457*90/G457)</x:f>
        <x:v>14178.461538461539</x:v>
      </x:c>
    </x:row>
    <x:row r="458" ht="27" customHeight="1">
      <x:c r="A458" s="2" t="str">
        <x:v>PROD10449</x:v>
      </x:c>
      <x:c r="B458" s="2" t="str">
        <x:v>Home &amp; Kitchen</x:v>
      </x:c>
      <x:c r="C458" s="2" t="str">
        <x:v>Kaul Pro Storage &amp; Container</x:v>
      </x:c>
      <x:c r="D458" s="2" t="n">
        <x:v>2295</x:v>
      </x:c>
      <x:c r="E458" s="11" t="n">
        <x:v>46022.5</x:v>
      </x:c>
      <x:c r="F458" s="2" t="n">
        <x:v>24</x:v>
      </x:c>
      <x:c r="G458" s="2" t="n">
        <x:v>50</x:v>
      </x:c>
      <x:c r="H458" s="10" t="n">
        <x:f>IF(F458=0,"无销量",D458*30/F458)</x:f>
        <x:v>2868.75</x:v>
      </x:c>
      <x:c r="I458" s="10" t="n">
        <x:f>IF(G458=0,"无销量",D458*90/G458)</x:f>
        <x:v>4131</x:v>
      </x:c>
    </x:row>
    <x:row r="459" ht="27" customHeight="1">
      <x:c r="A459" s="2" t="str">
        <x:v>PROD10450</x:v>
      </x:c>
      <x:c r="B459" s="2" t="str">
        <x:v>Health &amp; Wellness</x:v>
      </x:c>
      <x:c r="C459" s="2" t="str">
        <x:v>Dash, Pro Ayurveda</x:v>
      </x:c>
      <x:c r="D459" s="2" t="n">
        <x:v>162</x:v>
      </x:c>
      <x:c r="E459" s="11" t="n">
        <x:v>46022.5</x:v>
      </x:c>
      <x:c r="F459" s="2" t="n">
        <x:v>18</x:v>
      </x:c>
      <x:c r="G459" s="2" t="n">
        <x:v>41</x:v>
      </x:c>
      <x:c r="H459" s="10" t="n">
        <x:f>IF(F459=0,"无销量",D459*30/F459)</x:f>
        <x:v>270</x:v>
      </x:c>
      <x:c r="I459" s="10" t="n">
        <x:f>IF(G459=0,"无销量",D459*90/G459)</x:f>
        <x:v>355.609756097561</x:v>
      </x:c>
    </x:row>
    <x:row r="460" ht="27" customHeight="1">
      <x:c r="A460" s="2" t="str">
        <x:v>PROD10451</x:v>
      </x:c>
      <x:c r="B460" s="2" t="str">
        <x:v>Fashion</x:v>
      </x:c>
      <x:c r="C460" s="2" t="str">
        <x:v>Divan, Compact Winter Wear</x:v>
      </x:c>
      <x:c r="D460" s="2" t="n">
        <x:v>551</x:v>
      </x:c>
      <x:c r="E460" s="11" t="n">
        <x:v>46022.5</x:v>
      </x:c>
      <x:c r="F460" s="2" t="n">
        <x:v>4</x:v>
      </x:c>
      <x:c r="G460" s="2" t="n">
        <x:v>21</x:v>
      </x:c>
      <x:c r="H460" s="10" t="n">
        <x:f>IF(F460=0,"无销量",D460*30/F460)</x:f>
        <x:v>4132.5</x:v>
      </x:c>
      <x:c r="I460" s="10" t="n">
        <x:f>IF(G460=0,"无销量",D460*90/G460)</x:f>
        <x:v>2361.4285714285716</x:v>
      </x:c>
    </x:row>
    <x:row r="461" ht="27" customHeight="1">
      <x:c r="A461" s="2" t="str">
        <x:v>PROD10452</x:v>
      </x:c>
      <x:c r="B461" s="2" t="str">
        <x:v>Fashion</x:v>
      </x:c>
      <x:c r="C461" s="2" t="str">
        <x:v>Buch-Kaul Everyday Men's Topwear</x:v>
      </x:c>
      <x:c r="D461" s="2" t="n">
        <x:v>1504</x:v>
      </x:c>
      <x:c r="E461" s="11" t="n">
        <x:v>46022.5</x:v>
      </x:c>
      <x:c r="F461" s="2" t="n">
        <x:v>16</x:v>
      </x:c>
      <x:c r="G461" s="2" t="n">
        <x:v>20</x:v>
      </x:c>
      <x:c r="H461" s="10" t="n">
        <x:f>IF(F461=0,"无销量",D461*30/F461)</x:f>
        <x:v>2820</x:v>
      </x:c>
      <x:c r="I461" s="10" t="n">
        <x:f>IF(G461=0,"无销量",D461*90/G461)</x:f>
        <x:v>6768</x:v>
      </x:c>
    </x:row>
    <x:row r="462" ht="27" customHeight="1">
      <x:c r="A462" s="2" t="str">
        <x:v>PROD10453</x:v>
      </x:c>
      <x:c r="B462" s="2" t="str">
        <x:v>Home &amp; Kitchen</x:v>
      </x:c>
      <x:c r="C462" s="2" t="str">
        <x:v>Chaudhry, Compact Home Decor</x:v>
      </x:c>
      <x:c r="D462" s="2" t="n">
        <x:v>2887</x:v>
      </x:c>
      <x:c r="E462" s="11" t="n">
        <x:v>46022.5</x:v>
      </x:c>
      <x:c r="F462" s="2" t="n">
        <x:v>32</x:v>
      </x:c>
      <x:c r="G462" s="2" t="n">
        <x:v>80</x:v>
      </x:c>
      <x:c r="H462" s="10" t="n">
        <x:f>IF(F462=0,"无销量",D462*30/F462)</x:f>
        <x:v>2706.5625</x:v>
      </x:c>
      <x:c r="I462" s="10" t="n">
        <x:f>IF(G462=0,"无销量",D462*90/G462)</x:f>
        <x:v>3247.875</x:v>
      </x:c>
    </x:row>
    <x:row r="463" ht="27" customHeight="1">
      <x:c r="A463" s="2" t="str">
        <x:v>PROD10454</x:v>
      </x:c>
      <x:c r="B463" s="2" t="str">
        <x:v>Footwear</x:v>
      </x:c>
      <x:c r="C463" s="2" t="str">
        <x:v>Shanker-Dhar Everyday Formal Shoe</x:v>
      </x:c>
      <x:c r="D463" s="2" t="n">
        <x:v>225</x:v>
      </x:c>
      <x:c r="E463" s="11" t="n">
        <x:v>46022.5</x:v>
      </x:c>
      <x:c r="F463" s="2" t="n">
        <x:v>61</x:v>
      </x:c>
      <x:c r="G463" s="2" t="n">
        <x:v>159</x:v>
      </x:c>
      <x:c r="H463" s="10" t="n">
        <x:f>IF(F463=0,"无销量",D463*30/F463)</x:f>
        <x:v>110.65573770491804</x:v>
      </x:c>
      <x:c r="I463" s="10" t="n">
        <x:f>IF(G463=0,"无销量",D463*90/G463)</x:f>
        <x:v>127.35849056603773</x:v>
      </x:c>
    </x:row>
    <x:row r="464" ht="27" customHeight="1">
      <x:c r="A464" s="2" t="str">
        <x:v>PROD10455</x:v>
      </x:c>
      <x:c r="B464" s="2" t="str">
        <x:v>Grocery</x:v>
      </x:c>
      <x:c r="C464" s="2" t="str">
        <x:v>Karpe Signature Packaged Food</x:v>
      </x:c>
      <x:c r="D464" s="2" t="n">
        <x:v>1907</x:v>
      </x:c>
      <x:c r="E464" s="11" t="n">
        <x:v>46022.5</x:v>
      </x:c>
      <x:c r="F464" s="2" t="n">
        <x:v>58</x:v>
      </x:c>
      <x:c r="G464" s="2" t="n">
        <x:v>149</x:v>
      </x:c>
      <x:c r="H464" s="10" t="n">
        <x:f>IF(F464=0,"无销量",D464*30/F464)</x:f>
        <x:v>986.3793103448276</x:v>
      </x:c>
      <x:c r="I464" s="10" t="n">
        <x:f>IF(G464=0,"无销量",D464*90/G464)</x:f>
        <x:v>1151.8791946308725</x:v>
      </x:c>
    </x:row>
    <x:row r="465" ht="27" customHeight="1">
      <x:c r="A465" s="2" t="str">
        <x:v>PROD10456</x:v>
      </x:c>
      <x:c r="B465" s="2" t="str">
        <x:v>Health &amp; Wellness</x:v>
      </x:c>
      <x:c r="C465" s="2" t="str">
        <x:v>Salvi Deluxe Supplement</x:v>
      </x:c>
      <x:c r="D465" s="2" t="n">
        <x:v>2436</x:v>
      </x:c>
      <x:c r="E465" s="11" t="n">
        <x:v>46022.5</x:v>
      </x:c>
      <x:c r="F465" s="2" t="n">
        <x:v>9</x:v>
      </x:c>
      <x:c r="G465" s="2" t="n">
        <x:v>17</x:v>
      </x:c>
      <x:c r="H465" s="10" t="n">
        <x:f>IF(F465=0,"无销量",D465*30/F465)</x:f>
        <x:v>8120</x:v>
      </x:c>
      <x:c r="I465" s="10" t="n">
        <x:f>IF(G465=0,"无销量",D465*90/G465)</x:f>
        <x:v>12896.470588235294</x:v>
      </x:c>
    </x:row>
    <x:row r="466" ht="27" customHeight="1">
      <x:c r="A466" s="2" t="str">
        <x:v>PROD10457</x:v>
      </x:c>
      <x:c r="B466" s="2" t="str">
        <x:v>Beauty</x:v>
      </x:c>
      <x:c r="C466" s="2" t="str">
        <x:v>Ahuja-Dutta Premium Fragrance</x:v>
      </x:c>
      <x:c r="D466" s="2" t="n">
        <x:v>1741</x:v>
      </x:c>
      <x:c r="E466" s="11" t="n">
        <x:v>46022.5</x:v>
      </x:c>
      <x:c r="F466" s="2" t="n">
        <x:v>28</x:v>
      </x:c>
      <x:c r="G466" s="2" t="n">
        <x:v>78</x:v>
      </x:c>
      <x:c r="H466" s="10" t="n">
        <x:f>IF(F466=0,"无销量",D466*30/F466)</x:f>
        <x:v>1865.357142857143</x:v>
      </x:c>
      <x:c r="I466" s="10" t="n">
        <x:f>IF(G466=0,"无销量",D466*90/G466)</x:f>
        <x:v>2008.8461538461538</x:v>
      </x:c>
    </x:row>
    <x:row r="467" ht="27" customHeight="1">
      <x:c r="A467" s="2" t="str">
        <x:v>PROD10458</x:v>
      </x:c>
      <x:c r="B467" s="2" t="str">
        <x:v>Fashion</x:v>
      </x:c>
      <x:c r="C467" s="2" t="str">
        <x:v>Behl-Chanda Ultra Women's Western Wear</x:v>
      </x:c>
      <x:c r="D467" s="2" t="n">
        <x:v>954</x:v>
      </x:c>
      <x:c r="E467" s="11" t="n">
        <x:v>46022.5</x:v>
      </x:c>
      <x:c r="F467" s="2" t="n">
        <x:v>87</x:v>
      </x:c>
      <x:c r="G467" s="2" t="n">
        <x:v>225</x:v>
      </x:c>
      <x:c r="H467" s="10" t="n">
        <x:f>IF(F467=0,"无销量",D467*30/F467)</x:f>
        <x:v>328.9655172413793</x:v>
      </x:c>
      <x:c r="I467" s="10" t="n">
        <x:f>IF(G467=0,"无销量",D467*90/G467)</x:f>
        <x:v>381.6</x:v>
      </x:c>
    </x:row>
    <x:row r="468" ht="27" customHeight="1">
      <x:c r="A468" s="2" t="str">
        <x:v>PROD10459</x:v>
      </x:c>
      <x:c r="B468" s="2" t="str">
        <x:v>Footwear</x:v>
      </x:c>
      <x:c r="C468" s="2" t="str">
        <x:v>Saraf, Basic Men's Casual</x:v>
      </x:c>
      <x:c r="D468" s="2" t="n">
        <x:v>624</x:v>
      </x:c>
      <x:c r="E468" s="11" t="n">
        <x:v>46022.5</x:v>
      </x:c>
      <x:c r="F468" s="2" t="n">
        <x:v>46</x:v>
      </x:c>
      <x:c r="G468" s="2" t="n">
        <x:v>105</x:v>
      </x:c>
      <x:c r="H468" s="10" t="n">
        <x:f>IF(F468=0,"无销量",D468*30/F468)</x:f>
        <x:v>406.95652173913044</x:v>
      </x:c>
      <x:c r="I468" s="10" t="n">
        <x:f>IF(G468=0,"无销量",D468*90/G468)</x:f>
        <x:v>534.8571428571429</x:v>
      </x:c>
    </x:row>
    <x:row r="469" ht="27" customHeight="1">
      <x:c r="A469" s="2" t="str">
        <x:v>PROD10460</x:v>
      </x:c>
      <x:c r="B469" s="2" t="str">
        <x:v>Musical Instruments</x:v>
      </x:c>
      <x:c r="C469" s="2" t="str">
        <x:v>Patla-Gaba Classic Percussion</x:v>
      </x:c>
      <x:c r="D469" s="2" t="n">
        <x:v>404</x:v>
      </x:c>
      <x:c r="E469" s="11" t="n">
        <x:v>46022.5</x:v>
      </x:c>
      <x:c r="F469" s="2" t="n">
        <x:v>0</x:v>
      </x:c>
      <x:c r="G469" s="2" t="n">
        <x:v>4</x:v>
      </x:c>
      <x:c r="H469" s="10" t="str">
        <x:f>IF(F469=0,"无销量",D469*30/F469)</x:f>
        <x:v>无销量</x:v>
      </x:c>
      <x:c r="I469" s="10" t="n">
        <x:f>IF(G469=0,"无销量",D469*90/G469)</x:f>
        <x:v>9090</x:v>
      </x:c>
    </x:row>
    <x:row r="470" ht="27" customHeight="1">
      <x:c r="A470" s="2" t="str">
        <x:v>PROD10461</x:v>
      </x:c>
      <x:c r="B470" s="2" t="str">
        <x:v>Fashion</x:v>
      </x:c>
      <x:c r="C470" s="2" t="str">
        <x:v>Yadav, Classic Men's Bottomwear</x:v>
      </x:c>
      <x:c r="D470" s="2" t="n">
        <x:v>1009</x:v>
      </x:c>
      <x:c r="E470" s="11" t="n">
        <x:v>46022.5</x:v>
      </x:c>
      <x:c r="F470" s="2" t="n">
        <x:v>14</x:v>
      </x:c>
      <x:c r="G470" s="2" t="n">
        <x:v>53</x:v>
      </x:c>
      <x:c r="H470" s="10" t="n">
        <x:f>IF(F470=0,"无销量",D470*30/F470)</x:f>
        <x:v>2162.1428571428573</x:v>
      </x:c>
      <x:c r="I470" s="10" t="n">
        <x:f>IF(G470=0,"无销量",D470*90/G470)</x:f>
        <x:v>1713.3962264150944</x:v>
      </x:c>
    </x:row>
    <x:row r="471" ht="27" customHeight="1">
      <x:c r="A471" s="2" t="str">
        <x:v>PROD10462</x:v>
      </x:c>
      <x:c r="B471" s="2" t="str">
        <x:v>Office Supplies</x:v>
      </x:c>
      <x:c r="C471" s="2" t="str">
        <x:v>Borra Signature Printer</x:v>
      </x:c>
      <x:c r="D471" s="2" t="n">
        <x:v>845</x:v>
      </x:c>
      <x:c r="E471" s="11" t="n">
        <x:v>46022.5</x:v>
      </x:c>
      <x:c r="F471" s="2" t="n">
        <x:v>63</x:v>
      </x:c>
      <x:c r="G471" s="2" t="n">
        <x:v>164</x:v>
      </x:c>
      <x:c r="H471" s="10" t="n">
        <x:f>IF(F471=0,"无销量",D471*30/F471)</x:f>
        <x:v>402.3809523809524</x:v>
      </x:c>
      <x:c r="I471" s="10" t="n">
        <x:f>IF(G471=0,"无销量",D471*90/G471)</x:f>
        <x:v>463.719512195122</x:v>
      </x:c>
    </x:row>
    <x:row r="472" ht="27" customHeight="1">
      <x:c r="A472" s="2" t="str">
        <x:v>PROD10463</x:v>
      </x:c>
      <x:c r="B472" s="2" t="str">
        <x:v>Home &amp; Kitchen</x:v>
      </x:c>
      <x:c r="C472" s="2" t="str">
        <x:v>Varma-Nayak Basic Bedding</x:v>
      </x:c>
      <x:c r="D472" s="2" t="n">
        <x:v>885</x:v>
      </x:c>
      <x:c r="E472" s="11" t="n">
        <x:v>46022.5</x:v>
      </x:c>
      <x:c r="F472" s="2" t="n">
        <x:v>19</x:v>
      </x:c>
      <x:c r="G472" s="2" t="n">
        <x:v>39</x:v>
      </x:c>
      <x:c r="H472" s="10" t="n">
        <x:f>IF(F472=0,"无销量",D472*30/F472)</x:f>
        <x:v>1397.3684210526317</x:v>
      </x:c>
      <x:c r="I472" s="10" t="n">
        <x:f>IF(G472=0,"无销量",D472*90/G472)</x:f>
        <x:v>2042.3076923076924</x:v>
      </x:c>
    </x:row>
    <x:row r="473" ht="27" customHeight="1">
      <x:c r="A473" s="2" t="str">
        <x:v>PROD10464</x:v>
      </x:c>
      <x:c r="B473" s="2" t="str">
        <x:v>Appliances</x:v>
      </x:c>
      <x:c r="C473" s="2" t="str">
        <x:v>Mittal, Signature Air Conditioner</x:v>
      </x:c>
      <x:c r="D473" s="2" t="n">
        <x:v>2794</x:v>
      </x:c>
      <x:c r="E473" s="11" t="n">
        <x:v>46022.5</x:v>
      </x:c>
      <x:c r="F473" s="2" t="n">
        <x:v>22</x:v>
      </x:c>
      <x:c r="G473" s="2" t="n">
        <x:v>85</x:v>
      </x:c>
      <x:c r="H473" s="10" t="n">
        <x:f>IF(F473=0,"无销量",D473*30/F473)</x:f>
        <x:v>3810</x:v>
      </x:c>
      <x:c r="I473" s="10" t="n">
        <x:f>IF(G473=0,"无销量",D473*90/G473)</x:f>
        <x:v>2958.3529411764707</x:v>
      </x:c>
    </x:row>
    <x:row r="474" ht="27" customHeight="1">
      <x:c r="A474" s="2" t="str">
        <x:v>PROD10465</x:v>
      </x:c>
      <x:c r="B474" s="2" t="str">
        <x:v>Toys</x:v>
      </x:c>
      <x:c r="C474" s="2" t="str">
        <x:v>Barad-Singhal Compact Board Game</x:v>
      </x:c>
      <x:c r="D474" s="2" t="n">
        <x:v>509</x:v>
      </x:c>
      <x:c r="E474" s="11" t="n">
        <x:v>46022.5</x:v>
      </x:c>
      <x:c r="F474" s="2" t="n">
        <x:v>37</x:v>
      </x:c>
      <x:c r="G474" s="2" t="n">
        <x:v>86</x:v>
      </x:c>
      <x:c r="H474" s="10" t="n">
        <x:f>IF(F474=0,"无销量",D474*30/F474)</x:f>
        <x:v>412.7027027027027</x:v>
      </x:c>
      <x:c r="I474" s="10" t="n">
        <x:f>IF(G474=0,"无销量",D474*90/G474)</x:f>
        <x:v>532.6744186046511</x:v>
      </x:c>
    </x:row>
    <x:row r="475" ht="27" customHeight="1">
      <x:c r="A475" s="2" t="str">
        <x:v>PROD10466</x:v>
      </x:c>
      <x:c r="B475" s="2" t="str">
        <x:v>Electronics</x:v>
      </x:c>
      <x:c r="C475" s="2" t="str">
        <x:v>Krish, Classic Camera</x:v>
      </x:c>
      <x:c r="D475" s="2" t="n">
        <x:v>549</x:v>
      </x:c>
      <x:c r="E475" s="11" t="n">
        <x:v>46022.5</x:v>
      </x:c>
      <x:c r="F475" s="2" t="n">
        <x:v>29</x:v>
      </x:c>
      <x:c r="G475" s="2" t="n">
        <x:v>78</x:v>
      </x:c>
      <x:c r="H475" s="10" t="n">
        <x:f>IF(F475=0,"无销量",D475*30/F475)</x:f>
        <x:v>567.9310344827586</x:v>
      </x:c>
      <x:c r="I475" s="10" t="n">
        <x:f>IF(G475=0,"无销量",D475*90/G475)</x:f>
        <x:v>633.4615384615385</x:v>
      </x:c>
    </x:row>
    <x:row r="476" ht="27" customHeight="1">
      <x:c r="A476" s="2" t="str">
        <x:v>PROD10467</x:v>
      </x:c>
      <x:c r="B476" s="2" t="str">
        <x:v>Musical Instruments</x:v>
      </x:c>
      <x:c r="C476" s="2" t="str">
        <x:v>Yohannan, Advanced Electronic Instrument</x:v>
      </x:c>
      <x:c r="D476" s="2" t="n">
        <x:v>2187</x:v>
      </x:c>
      <x:c r="E476" s="11" t="n">
        <x:v>46022.5</x:v>
      </x:c>
      <x:c r="F476" s="2" t="n">
        <x:v>43</x:v>
      </x:c>
      <x:c r="G476" s="2" t="n">
        <x:v>140</x:v>
      </x:c>
      <x:c r="H476" s="10" t="n">
        <x:f>IF(F476=0,"无销量",D476*30/F476)</x:f>
        <x:v>1525.8139534883721</x:v>
      </x:c>
      <x:c r="I476" s="10" t="n">
        <x:f>IF(G476=0,"无销量",D476*90/G476)</x:f>
        <x:v>1405.9285714285713</x:v>
      </x:c>
    </x:row>
    <x:row r="477" ht="27" customHeight="1">
      <x:c r="A477" s="2" t="str">
        <x:v>PROD10468</x:v>
      </x:c>
      <x:c r="B477" s="2" t="str">
        <x:v>Sports</x:v>
      </x:c>
      <x:c r="C477" s="2" t="str">
        <x:v>Bhatt Ultra Cycling</x:v>
      </x:c>
      <x:c r="D477" s="2" t="n">
        <x:v>398</x:v>
      </x:c>
      <x:c r="E477" s="11" t="n">
        <x:v>46022.5</x:v>
      </x:c>
      <x:c r="F477" s="2" t="n">
        <x:v>31</x:v>
      </x:c>
      <x:c r="G477" s="2" t="n">
        <x:v>62</x:v>
      </x:c>
      <x:c r="H477" s="10" t="n">
        <x:f>IF(F477=0,"无销量",D477*30/F477)</x:f>
        <x:v>385.16129032258067</x:v>
      </x:c>
      <x:c r="I477" s="10" t="n">
        <x:f>IF(G477=0,"无销量",D477*90/G477)</x:f>
        <x:v>577.741935483871</x:v>
      </x:c>
    </x:row>
    <x:row r="478" ht="27" customHeight="1">
      <x:c r="A478" s="2" t="str">
        <x:v>PROD10469</x:v>
      </x:c>
      <x:c r="B478" s="2" t="str">
        <x:v>Home &amp; Kitchen</x:v>
      </x:c>
      <x:c r="C478" s="2" t="str">
        <x:v>Bhargava, Ultra Home Decor</x:v>
      </x:c>
      <x:c r="D478" s="2" t="n">
        <x:v>1032</x:v>
      </x:c>
      <x:c r="E478" s="11" t="n">
        <x:v>46022.5</x:v>
      </x:c>
      <x:c r="F478" s="2" t="n">
        <x:v>361</x:v>
      </x:c>
      <x:c r="G478" s="2" t="n">
        <x:v>932</x:v>
      </x:c>
      <x:c r="H478" s="10" t="n">
        <x:f>IF(F478=0,"无销量",D478*30/F478)</x:f>
        <x:v>85.76177285318559</x:v>
      </x:c>
      <x:c r="I478" s="10" t="n">
        <x:f>IF(G478=0,"无销量",D478*90/G478)</x:f>
        <x:v>99.65665236051503</x:v>
      </x:c>
    </x:row>
    <x:row r="479" ht="27" customHeight="1">
      <x:c r="A479" s="2" t="str">
        <x:v>PROD10470</x:v>
      </x:c>
      <x:c r="B479" s="2" t="str">
        <x:v>Footwear</x:v>
      </x:c>
      <x:c r="C479" s="2" t="str">
        <x:v>Barad-Singhal Ultra Sports Shoe</x:v>
      </x:c>
      <x:c r="D479" s="2" t="n">
        <x:v>1871</x:v>
      </x:c>
      <x:c r="E479" s="11" t="n">
        <x:v>46022.5</x:v>
      </x:c>
      <x:c r="F479" s="2" t="n">
        <x:v>41</x:v>
      </x:c>
      <x:c r="G479" s="2" t="n">
        <x:v>122</x:v>
      </x:c>
      <x:c r="H479" s="10" t="n">
        <x:f>IF(F479=0,"无销量",D479*30/F479)</x:f>
        <x:v>1369.0243902439024</x:v>
      </x:c>
      <x:c r="I479" s="10" t="n">
        <x:f>IF(G479=0,"无销量",D479*90/G479)</x:f>
        <x:v>1380.2459016393443</x:v>
      </x:c>
    </x:row>
    <x:row r="480" ht="27" customHeight="1">
      <x:c r="A480" s="2" t="str">
        <x:v>PROD10471</x:v>
      </x:c>
      <x:c r="B480" s="2" t="str">
        <x:v>Books</x:v>
      </x:c>
      <x:c r="C480" s="2" t="str">
        <x:v>Mutti Smart Children's Book</x:v>
      </x:c>
      <x:c r="D480" s="2" t="n">
        <x:v>2532</x:v>
      </x:c>
      <x:c r="E480" s="11" t="n">
        <x:v>46022.5</x:v>
      </x:c>
      <x:c r="F480" s="2" t="n">
        <x:v>47</x:v>
      </x:c>
      <x:c r="G480" s="2" t="n">
        <x:v>106</x:v>
      </x:c>
      <x:c r="H480" s="10" t="n">
        <x:f>IF(F480=0,"无销量",D480*30/F480)</x:f>
        <x:v>1616.1702127659576</x:v>
      </x:c>
      <x:c r="I480" s="10" t="n">
        <x:f>IF(G480=0,"无销量",D480*90/G480)</x:f>
        <x:v>2149.811320754717</x:v>
      </x:c>
    </x:row>
    <x:row r="481" ht="27" customHeight="1">
      <x:c r="A481" s="2" t="str">
        <x:v>PROD10472</x:v>
      </x:c>
      <x:c r="B481" s="2" t="str">
        <x:v>Home &amp; Kitchen</x:v>
      </x:c>
      <x:c r="C481" s="2" t="str">
        <x:v>Bhat, Advanced Home Decor</x:v>
      </x:c>
      <x:c r="D481" s="2" t="n">
        <x:v>2852</x:v>
      </x:c>
      <x:c r="E481" s="11" t="n">
        <x:v>46022.5</x:v>
      </x:c>
      <x:c r="F481" s="2" t="n">
        <x:v>44</x:v>
      </x:c>
      <x:c r="G481" s="2" t="n">
        <x:v>113</x:v>
      </x:c>
      <x:c r="H481" s="10" t="n">
        <x:f>IF(F481=0,"无销量",D481*30/F481)</x:f>
        <x:v>1944.5454545454545</x:v>
      </x:c>
      <x:c r="I481" s="10" t="n">
        <x:f>IF(G481=0,"无销量",D481*90/G481)</x:f>
        <x:v>2271.504424778761</x:v>
      </x:c>
    </x:row>
    <x:row r="482" ht="27" customHeight="1">
      <x:c r="A482" s="2" t="str">
        <x:v>PROD10473</x:v>
      </x:c>
      <x:c r="B482" s="2" t="str">
        <x:v>Fashion</x:v>
      </x:c>
      <x:c r="C482" s="2" t="str">
        <x:v>Pingle Pro Men's Bottomwear</x:v>
      </x:c>
      <x:c r="D482" s="2" t="n">
        <x:v>1593</x:v>
      </x:c>
      <x:c r="E482" s="11" t="n">
        <x:v>46022.5</x:v>
      </x:c>
      <x:c r="F482" s="2" t="n">
        <x:v>40</x:v>
      </x:c>
      <x:c r="G482" s="2" t="n">
        <x:v>87</x:v>
      </x:c>
      <x:c r="H482" s="10" t="n">
        <x:f>IF(F482=0,"无销量",D482*30/F482)</x:f>
        <x:v>1194.75</x:v>
      </x:c>
      <x:c r="I482" s="10" t="n">
        <x:f>IF(G482=0,"无销量",D482*90/G482)</x:f>
        <x:v>1647.9310344827586</x:v>
      </x:c>
    </x:row>
    <x:row r="483" ht="27" customHeight="1">
      <x:c r="A483" s="2" t="str">
        <x:v>PROD10474</x:v>
      </x:c>
      <x:c r="B483" s="2" t="str">
        <x:v>Electronics</x:v>
      </x:c>
      <x:c r="C483" s="2" t="str">
        <x:v>Boase-Mallick Classic Tablet</x:v>
      </x:c>
      <x:c r="D483" s="2" t="n">
        <x:v>1644</x:v>
      </x:c>
      <x:c r="E483" s="11" t="n">
        <x:v>46022.5</x:v>
      </x:c>
      <x:c r="F483" s="2" t="n">
        <x:v>7</x:v>
      </x:c>
      <x:c r="G483" s="2" t="n">
        <x:v>14</x:v>
      </x:c>
      <x:c r="H483" s="10" t="n">
        <x:f>IF(F483=0,"无销量",D483*30/F483)</x:f>
        <x:v>7045.714285714285</x:v>
      </x:c>
      <x:c r="I483" s="10" t="n">
        <x:f>IF(G483=0,"无销量",D483*90/G483)</x:f>
        <x:v>10568.57142857143</x:v>
      </x:c>
    </x:row>
    <x:row r="484" ht="27" customHeight="1">
      <x:c r="A484" s="2" t="str">
        <x:v>PROD10475</x:v>
      </x:c>
      <x:c r="B484" s="2" t="str">
        <x:v>Stationery</x:v>
      </x:c>
      <x:c r="C484" s="2" t="str">
        <x:v>Konda, Classic Notebook</x:v>
      </x:c>
      <x:c r="D484" s="2" t="n">
        <x:v>552</x:v>
      </x:c>
      <x:c r="E484" s="11" t="n">
        <x:v>46022.5</x:v>
      </x:c>
      <x:c r="F484" s="2" t="n">
        <x:v>6</x:v>
      </x:c>
      <x:c r="G484" s="2" t="n">
        <x:v>10</x:v>
      </x:c>
      <x:c r="H484" s="10" t="n">
        <x:f>IF(F484=0,"无销量",D484*30/F484)</x:f>
        <x:v>2760</x:v>
      </x:c>
      <x:c r="I484" s="10" t="n">
        <x:f>IF(G484=0,"无销量",D484*90/G484)</x:f>
        <x:v>4968</x:v>
      </x:c>
    </x:row>
    <x:row r="485" ht="27" customHeight="1">
      <x:c r="A485" s="2" t="str">
        <x:v>PROD10476</x:v>
      </x:c>
      <x:c r="B485" s="2" t="str">
        <x:v>Beauty</x:v>
      </x:c>
      <x:c r="C485" s="2" t="str">
        <x:v>Mutti Basic Fragrance</x:v>
      </x:c>
      <x:c r="D485" s="2" t="n">
        <x:v>1107</x:v>
      </x:c>
      <x:c r="E485" s="11" t="n">
        <x:v>46022.5</x:v>
      </x:c>
      <x:c r="F485" s="2" t="n">
        <x:v>12</x:v>
      </x:c>
      <x:c r="G485" s="2" t="n">
        <x:v>22</x:v>
      </x:c>
      <x:c r="H485" s="10" t="n">
        <x:f>IF(F485=0,"无销量",D485*30/F485)</x:f>
        <x:v>2767.5</x:v>
      </x:c>
      <x:c r="I485" s="10" t="n">
        <x:f>IF(G485=0,"无销量",D485*90/G485)</x:f>
        <x:v>4528.636363636364</x:v>
      </x:c>
    </x:row>
    <x:row r="486" ht="27" customHeight="1">
      <x:c r="A486" s="2" t="str">
        <x:v>PROD10477</x:v>
      </x:c>
      <x:c r="B486" s="2" t="str">
        <x:v>Toys</x:v>
      </x:c>
      <x:c r="C486" s="2" t="str">
        <x:v>Dutta Compact Board Game</x:v>
      </x:c>
      <x:c r="D486" s="2" t="n">
        <x:v>312</x:v>
      </x:c>
      <x:c r="E486" s="11" t="n">
        <x:v>46022.5</x:v>
      </x:c>
      <x:c r="F486" s="2" t="n">
        <x:v>26</x:v>
      </x:c>
      <x:c r="G486" s="2" t="n">
        <x:v>65</x:v>
      </x:c>
      <x:c r="H486" s="10" t="n">
        <x:f>IF(F486=0,"无销量",D486*30/F486)</x:f>
        <x:v>360</x:v>
      </x:c>
      <x:c r="I486" s="10" t="n">
        <x:f>IF(G486=0,"无销量",D486*90/G486)</x:f>
        <x:v>432</x:v>
      </x:c>
    </x:row>
    <x:row r="487" ht="27" customHeight="1">
      <x:c r="A487" s="2" t="str">
        <x:v>PROD10478</x:v>
      </x:c>
      <x:c r="B487" s="2" t="str">
        <x:v>Furniture</x:v>
      </x:c>
      <x:c r="C487" s="2" t="str">
        <x:v>Shetty, Compact Living Room</x:v>
      </x:c>
      <x:c r="D487" s="2" t="n">
        <x:v>2181</x:v>
      </x:c>
      <x:c r="E487" s="11" t="n">
        <x:v>46022.5</x:v>
      </x:c>
      <x:c r="F487" s="2" t="n">
        <x:v>15</x:v>
      </x:c>
      <x:c r="G487" s="2" t="n">
        <x:v>19</x:v>
      </x:c>
      <x:c r="H487" s="10" t="n">
        <x:f>IF(F487=0,"无销量",D487*30/F487)</x:f>
        <x:v>4362</x:v>
      </x:c>
      <x:c r="I487" s="10" t="n">
        <x:f>IF(G487=0,"无销量",D487*90/G487)</x:f>
        <x:v>10331.052631578947</x:v>
      </x:c>
    </x:row>
    <x:row r="488" ht="27" customHeight="1">
      <x:c r="A488" s="2" t="str">
        <x:v>PROD10479</x:v>
      </x:c>
      <x:c r="B488" s="2" t="str">
        <x:v>Personal Care</x:v>
      </x:c>
      <x:c r="C488" s="2" t="str">
        <x:v>Bir, Advanced Grooming</x:v>
      </x:c>
      <x:c r="D488" s="2" t="n">
        <x:v>869</x:v>
      </x:c>
      <x:c r="E488" s="11" t="n">
        <x:v>46022.5</x:v>
      </x:c>
      <x:c r="F488" s="2" t="n">
        <x:v>29</x:v>
      </x:c>
      <x:c r="G488" s="2" t="n">
        <x:v>55</x:v>
      </x:c>
      <x:c r="H488" s="10" t="n">
        <x:f>IF(F488=0,"无销量",D488*30/F488)</x:f>
        <x:v>898.9655172413793</x:v>
      </x:c>
      <x:c r="I488" s="10" t="n">
        <x:f>IF(G488=0,"无销量",D488*90/G488)</x:f>
        <x:v>1422</x:v>
      </x:c>
    </x:row>
    <x:row r="489" ht="27" customHeight="1">
      <x:c r="A489" s="2" t="str">
        <x:v>PROD10480</x:v>
      </x:c>
      <x:c r="B489" s="2" t="str">
        <x:v>Health &amp; Wellness</x:v>
      </x:c>
      <x:c r="C489" s="2" t="str">
        <x:v>Sane, Smart Supplement</x:v>
      </x:c>
      <x:c r="D489" s="2" t="n">
        <x:v>2873</x:v>
      </x:c>
      <x:c r="E489" s="11" t="n">
        <x:v>46022.5</x:v>
      </x:c>
      <x:c r="F489" s="2" t="n">
        <x:v>14</x:v>
      </x:c>
      <x:c r="G489" s="2" t="n">
        <x:v>33</x:v>
      </x:c>
      <x:c r="H489" s="10" t="n">
        <x:f>IF(F489=0,"无销量",D489*30/F489)</x:f>
        <x:v>6156.428571428572</x:v>
      </x:c>
      <x:c r="I489" s="10" t="n">
        <x:f>IF(G489=0,"无销量",D489*90/G489)</x:f>
        <x:v>7835.454545454545</x:v>
      </x:c>
    </x:row>
    <x:row r="490" ht="27" customHeight="1">
      <x:c r="A490" s="2" t="str">
        <x:v>PROD10481</x:v>
      </x:c>
      <x:c r="B490" s="2" t="str">
        <x:v>Footwear</x:v>
      </x:c>
      <x:c r="C490" s="2" t="str">
        <x:v>Dash, Deluxe Sandals &amp; Flip Flop</x:v>
      </x:c>
      <x:c r="D490" s="2" t="n">
        <x:v>1450</x:v>
      </x:c>
      <x:c r="E490" s="11" t="n">
        <x:v>46022.5</x:v>
      </x:c>
      <x:c r="F490" s="2" t="n">
        <x:v>151</x:v>
      </x:c>
      <x:c r="G490" s="2" t="n">
        <x:v>362</x:v>
      </x:c>
      <x:c r="H490" s="10" t="n">
        <x:f>IF(F490=0,"无销量",D490*30/F490)</x:f>
        <x:v>288.0794701986755</x:v>
      </x:c>
      <x:c r="I490" s="10" t="n">
        <x:f>IF(G490=0,"无销量",D490*90/G490)</x:f>
        <x:v>360.49723756906076</x:v>
      </x:c>
    </x:row>
    <x:row r="491" ht="27" customHeight="1">
      <x:c r="A491" s="2" t="str">
        <x:v>PROD10482</x:v>
      </x:c>
      <x:c r="B491" s="2" t="str">
        <x:v>Stationery</x:v>
      </x:c>
      <x:c r="C491" s="2" t="str">
        <x:v>Mital, Classic Art Supplie</x:v>
      </x:c>
      <x:c r="D491" s="2" t="n">
        <x:v>443</x:v>
      </x:c>
      <x:c r="E491" s="11" t="n">
        <x:v>46022.5</x:v>
      </x:c>
      <x:c r="F491" s="2" t="n">
        <x:v>33</x:v>
      </x:c>
      <x:c r="G491" s="2" t="n">
        <x:v>87</x:v>
      </x:c>
      <x:c r="H491" s="10" t="n">
        <x:f>IF(F491=0,"无销量",D491*30/F491)</x:f>
        <x:v>402.72727272727275</x:v>
      </x:c>
      <x:c r="I491" s="10" t="n">
        <x:f>IF(G491=0,"无销量",D491*90/G491)</x:f>
        <x:v>458.2758620689655</x:v>
      </x:c>
    </x:row>
    <x:row r="492" ht="27" customHeight="1">
      <x:c r="A492" s="2" t="str">
        <x:v>PROD10483</x:v>
      </x:c>
      <x:c r="B492" s="2" t="str">
        <x:v>Sports</x:v>
      </x:c>
      <x:c r="C492" s="2" t="str">
        <x:v>Boase-Narayanan Essential Cycling</x:v>
      </x:c>
      <x:c r="D492" s="2" t="n">
        <x:v>1805</x:v>
      </x:c>
      <x:c r="E492" s="11" t="n">
        <x:v>46022.5</x:v>
      </x:c>
      <x:c r="F492" s="2" t="n">
        <x:v>55</x:v>
      </x:c>
      <x:c r="G492" s="2" t="n">
        <x:v>143</x:v>
      </x:c>
      <x:c r="H492" s="10" t="n">
        <x:f>IF(F492=0,"无销量",D492*30/F492)</x:f>
        <x:v>984.5454545454545</x:v>
      </x:c>
      <x:c r="I492" s="10" t="n">
        <x:f>IF(G492=0,"无销量",D492*90/G492)</x:f>
        <x:v>1136.013986013986</x:v>
      </x:c>
    </x:row>
    <x:row r="493" ht="27" customHeight="1">
      <x:c r="A493" s="2" t="str">
        <x:v>PROD10484</x:v>
      </x:c>
      <x:c r="B493" s="2" t="str">
        <x:v>Electronics</x:v>
      </x:c>
      <x:c r="C493" s="2" t="str">
        <x:v>Lal Essential Laptop</x:v>
      </x:c>
      <x:c r="D493" s="2" t="n">
        <x:v>2888</x:v>
      </x:c>
      <x:c r="E493" s="11" t="n">
        <x:v>46022.5</x:v>
      </x:c>
      <x:c r="F493" s="2" t="n">
        <x:v>103</x:v>
      </x:c>
      <x:c r="G493" s="2" t="n">
        <x:v>240</x:v>
      </x:c>
      <x:c r="H493" s="10" t="n">
        <x:f>IF(F493=0,"无销量",D493*30/F493)</x:f>
        <x:v>841.1650485436893</x:v>
      </x:c>
      <x:c r="I493" s="10" t="n">
        <x:f>IF(G493=0,"无销量",D493*90/G493)</x:f>
        <x:v>1083</x:v>
      </x:c>
    </x:row>
    <x:row r="494" ht="27" customHeight="1">
      <x:c r="A494" s="2" t="str">
        <x:v>PROD10485</x:v>
      </x:c>
      <x:c r="B494" s="2" t="str">
        <x:v>Watches</x:v>
      </x:c>
      <x:c r="C494" s="2" t="str">
        <x:v>Randhawa-Deep Compact Analog Watche</x:v>
      </x:c>
      <x:c r="D494" s="2" t="n">
        <x:v>849</x:v>
      </x:c>
      <x:c r="E494" s="11" t="n">
        <x:v>46022.5</x:v>
      </x:c>
      <x:c r="F494" s="2" t="n">
        <x:v>46</x:v>
      </x:c>
      <x:c r="G494" s="2" t="n">
        <x:v>95</x:v>
      </x:c>
      <x:c r="H494" s="10" t="n">
        <x:f>IF(F494=0,"无销量",D494*30/F494)</x:f>
        <x:v>553.695652173913</x:v>
      </x:c>
      <x:c r="I494" s="10" t="n">
        <x:f>IF(G494=0,"无销量",D494*90/G494)</x:f>
        <x:v>804.3157894736842</x:v>
      </x:c>
    </x:row>
    <x:row r="495" ht="27" customHeight="1">
      <x:c r="A495" s="2" t="str">
        <x:v>PROD10486</x:v>
      </x:c>
      <x:c r="B495" s="2" t="str">
        <x:v>Sports</x:v>
      </x:c>
      <x:c r="C495" s="2" t="str">
        <x:v>Yohannan, Deluxe Yoga</x:v>
      </x:c>
      <x:c r="D495" s="2" t="n">
        <x:v>2216</x:v>
      </x:c>
      <x:c r="E495" s="11" t="n">
        <x:v>46022.5</x:v>
      </x:c>
      <x:c r="F495" s="2" t="n">
        <x:v>11</x:v>
      </x:c>
      <x:c r="G495" s="2" t="n">
        <x:v>25</x:v>
      </x:c>
      <x:c r="H495" s="10" t="n">
        <x:f>IF(F495=0,"无销量",D495*30/F495)</x:f>
        <x:v>6043.636363636364</x:v>
      </x:c>
      <x:c r="I495" s="10" t="n">
        <x:f>IF(G495=0,"无销量",D495*90/G495)</x:f>
        <x:v>7977.6</x:v>
      </x:c>
    </x:row>
    <x:row r="496" ht="27" customHeight="1">
      <x:c r="A496" s="2" t="str">
        <x:v>PROD10487</x:v>
      </x:c>
      <x:c r="B496" s="2" t="str">
        <x:v>Home &amp; Kitchen</x:v>
      </x:c>
      <x:c r="C496" s="2" t="str">
        <x:v>Amble Ultra Bedding</x:v>
      </x:c>
      <x:c r="D496" s="2" t="n">
        <x:v>2957</x:v>
      </x:c>
      <x:c r="E496" s="11" t="n">
        <x:v>46022.5</x:v>
      </x:c>
      <x:c r="F496" s="2" t="n">
        <x:v>3</x:v>
      </x:c>
      <x:c r="G496" s="2" t="n">
        <x:v>16</x:v>
      </x:c>
      <x:c r="H496" s="10" t="n">
        <x:f>IF(F496=0,"无销量",D496*30/F496)</x:f>
        <x:v>29570</x:v>
      </x:c>
      <x:c r="I496" s="10" t="n">
        <x:f>IF(G496=0,"无销量",D496*90/G496)</x:f>
        <x:v>16633.125</x:v>
      </x:c>
    </x:row>
    <x:row r="497" ht="27" customHeight="1">
      <x:c r="A497" s="2" t="str">
        <x:v>PROD10488</x:v>
      </x:c>
      <x:c r="B497" s="2" t="str">
        <x:v>Fashion</x:v>
      </x:c>
      <x:c r="C497" s="2" t="str">
        <x:v>Kar-Issac Premium Kids Wear</x:v>
      </x:c>
      <x:c r="D497" s="2" t="n">
        <x:v>1002</x:v>
      </x:c>
      <x:c r="E497" s="11" t="n">
        <x:v>46022.5</x:v>
      </x:c>
      <x:c r="F497" s="2" t="n">
        <x:v>633</x:v>
      </x:c>
      <x:c r="G497" s="2" t="n">
        <x:v>1575</x:v>
      </x:c>
      <x:c r="H497" s="10" t="n">
        <x:f>IF(F497=0,"无销量",D497*30/F497)</x:f>
        <x:v>47.48815165876777</x:v>
      </x:c>
      <x:c r="I497" s="10" t="n">
        <x:f>IF(G497=0,"无销量",D497*90/G497)</x:f>
        <x:v>57.25714285714286</x:v>
      </x:c>
    </x:row>
    <x:row r="498" ht="27" customHeight="1">
      <x:c r="A498" s="2" t="str">
        <x:v>PROD10489</x:v>
      </x:c>
      <x:c r="B498" s="2" t="str">
        <x:v>Grocery</x:v>
      </x:c>
      <x:c r="C498" s="2" t="str">
        <x:v>Sen, Premium Packaged Food</x:v>
      </x:c>
      <x:c r="D498" s="2" t="n">
        <x:v>2704</x:v>
      </x:c>
      <x:c r="E498" s="11" t="n">
        <x:v>46022.5</x:v>
      </x:c>
      <x:c r="F498" s="2" t="n">
        <x:v>42</x:v>
      </x:c>
      <x:c r="G498" s="2" t="n">
        <x:v>115</x:v>
      </x:c>
      <x:c r="H498" s="10" t="n">
        <x:f>IF(F498=0,"无销量",D498*30/F498)</x:f>
        <x:v>1931.4285714285713</x:v>
      </x:c>
      <x:c r="I498" s="10" t="n">
        <x:f>IF(G498=0,"无销量",D498*90/G498)</x:f>
        <x:v>2116.1739130434785</x:v>
      </x:c>
    </x:row>
    <x:row r="499" ht="27" customHeight="1">
      <x:c r="A499" s="2" t="str">
        <x:v>PROD10490</x:v>
      </x:c>
      <x:c r="B499" s="2" t="str">
        <x:v>Bags</x:v>
      </x:c>
      <x:c r="C499" s="2" t="str">
        <x:v>Mallick Basic Handbag</x:v>
      </x:c>
      <x:c r="D499" s="2" t="n">
        <x:v>947</x:v>
      </x:c>
      <x:c r="E499" s="11" t="n">
        <x:v>46022.5</x:v>
      </x:c>
      <x:c r="F499" s="2" t="n">
        <x:v>95</x:v>
      </x:c>
      <x:c r="G499" s="2" t="n">
        <x:v>210</x:v>
      </x:c>
      <x:c r="H499" s="10" t="n">
        <x:f>IF(F499=0,"无销量",D499*30/F499)</x:f>
        <x:v>299.05263157894734</x:v>
      </x:c>
      <x:c r="I499" s="10" t="n">
        <x:f>IF(G499=0,"无销量",D499*90/G499)</x:f>
        <x:v>405.85714285714283</x:v>
      </x:c>
    </x:row>
    <x:row r="500" ht="27" customHeight="1">
      <x:c r="A500" s="2" t="str">
        <x:v>PROD10491</x:v>
      </x:c>
      <x:c r="B500" s="2" t="str">
        <x:v>Furniture</x:v>
      </x:c>
      <x:c r="C500" s="2" t="str">
        <x:v>Baral, Smart Office Furniture</x:v>
      </x:c>
      <x:c r="D500" s="2" t="n">
        <x:v>1650</x:v>
      </x:c>
      <x:c r="E500" s="11" t="n">
        <x:v>46022.5</x:v>
      </x:c>
      <x:c r="F500" s="2" t="n">
        <x:v>9</x:v>
      </x:c>
      <x:c r="G500" s="2" t="n">
        <x:v>21</x:v>
      </x:c>
      <x:c r="H500" s="10" t="n">
        <x:f>IF(F500=0,"无销量",D500*30/F500)</x:f>
        <x:v>5500</x:v>
      </x:c>
      <x:c r="I500" s="10" t="n">
        <x:f>IF(G500=0,"无销量",D500*90/G500)</x:f>
        <x:v>7071.428571428572</x:v>
      </x:c>
    </x:row>
    <x:row r="501" ht="27" customHeight="1">
      <x:c r="A501" s="2" t="str">
        <x:v>PROD10492</x:v>
      </x:c>
      <x:c r="B501" s="2" t="str">
        <x:v>Electronics</x:v>
      </x:c>
      <x:c r="C501" s="2" t="str">
        <x:v>Khatri-Bhardwaj Pro Smartphone</x:v>
      </x:c>
      <x:c r="D501" s="2" t="n">
        <x:v>1994</x:v>
      </x:c>
      <x:c r="E501" s="11" t="n">
        <x:v>46022.5</x:v>
      </x:c>
      <x:c r="F501" s="2" t="n">
        <x:v>14</x:v>
      </x:c>
      <x:c r="G501" s="2" t="n">
        <x:v>27</x:v>
      </x:c>
      <x:c r="H501" s="10" t="n">
        <x:f>IF(F501=0,"无销量",D501*30/F501)</x:f>
        <x:v>4272.857142857143</x:v>
      </x:c>
      <x:c r="I501" s="10" t="n">
        <x:f>IF(G501=0,"无销量",D501*90/G501)</x:f>
        <x:v>6646.666666666667</x:v>
      </x:c>
    </x:row>
    <x:row r="502" ht="27" customHeight="1">
      <x:c r="A502" s="2" t="str">
        <x:v>PROD10493</x:v>
      </x:c>
      <x:c r="B502" s="2" t="str">
        <x:v>Health &amp; Wellness</x:v>
      </x:c>
      <x:c r="C502" s="2" t="str">
        <x:v>Behl-Chanda Classic Medical Device</x:v>
      </x:c>
      <x:c r="D502" s="2" t="n">
        <x:v>1367</x:v>
      </x:c>
      <x:c r="E502" s="11" t="n">
        <x:v>46022.5</x:v>
      </x:c>
      <x:c r="F502" s="2" t="n">
        <x:v>10</x:v>
      </x:c>
      <x:c r="G502" s="2" t="n">
        <x:v>35</x:v>
      </x:c>
      <x:c r="H502" s="10" t="n">
        <x:f>IF(F502=0,"无销量",D502*30/F502)</x:f>
        <x:v>4101</x:v>
      </x:c>
      <x:c r="I502" s="10" t="n">
        <x:f>IF(G502=0,"无销量",D502*90/G502)</x:f>
        <x:v>3515.1428571428573</x:v>
      </x:c>
    </x:row>
    <x:row r="503" ht="27" customHeight="1">
      <x:c r="A503" s="2" t="str">
        <x:v>PROD10494</x:v>
      </x:c>
      <x:c r="B503" s="2" t="str">
        <x:v>Fashion</x:v>
      </x:c>
      <x:c r="C503" s="2" t="str">
        <x:v>Ahuja-Dutta Classic Women's Ethnic Wear</x:v>
      </x:c>
      <x:c r="D503" s="2" t="n">
        <x:v>1199</x:v>
      </x:c>
      <x:c r="E503" s="11" t="n">
        <x:v>46022.5</x:v>
      </x:c>
      <x:c r="F503" s="2" t="n">
        <x:v>3</x:v>
      </x:c>
      <x:c r="G503" s="2" t="n">
        <x:v>8</x:v>
      </x:c>
      <x:c r="H503" s="10" t="n">
        <x:f>IF(F503=0,"无销量",D503*30/F503)</x:f>
        <x:v>11990</x:v>
      </x:c>
      <x:c r="I503" s="10" t="n">
        <x:f>IF(G503=0,"无销量",D503*90/G503)</x:f>
        <x:v>13488.75</x:v>
      </x:c>
    </x:row>
    <x:row r="504" ht="27" customHeight="1">
      <x:c r="A504" s="2" t="str">
        <x:v>PROD10495</x:v>
      </x:c>
      <x:c r="B504" s="2" t="str">
        <x:v>Watches</x:v>
      </x:c>
      <x:c r="C504" s="2" t="str">
        <x:v>Acharya-Modi Essential Digital Watche</x:v>
      </x:c>
      <x:c r="D504" s="2" t="n">
        <x:v>573</x:v>
      </x:c>
      <x:c r="E504" s="11" t="n">
        <x:v>46022.5</x:v>
      </x:c>
      <x:c r="F504" s="2" t="n">
        <x:v>23</x:v>
      </x:c>
      <x:c r="G504" s="2" t="n">
        <x:v>57</x:v>
      </x:c>
      <x:c r="H504" s="10" t="n">
        <x:f>IF(F504=0,"无销量",D504*30/F504)</x:f>
        <x:v>747.3913043478261</x:v>
      </x:c>
      <x:c r="I504" s="10" t="n">
        <x:f>IF(G504=0,"无销量",D504*90/G504)</x:f>
        <x:v>904.7368421052631</x:v>
      </x:c>
    </x:row>
    <x:row r="505" ht="27" customHeight="1">
      <x:c r="A505" s="2" t="str">
        <x:v>PROD10496</x:v>
      </x:c>
      <x:c r="B505" s="2" t="str">
        <x:v>Health &amp; Wellness</x:v>
      </x:c>
      <x:c r="C505" s="2" t="str">
        <x:v>Divan, Everyday Ayurveda</x:v>
      </x:c>
      <x:c r="D505" s="2" t="n">
        <x:v>176</x:v>
      </x:c>
      <x:c r="E505" s="11" t="n">
        <x:v>46022.5</x:v>
      </x:c>
      <x:c r="F505" s="2" t="n">
        <x:v>40</x:v>
      </x:c>
      <x:c r="G505" s="2" t="n">
        <x:v>95</x:v>
      </x:c>
      <x:c r="H505" s="10" t="n">
        <x:f>IF(F505=0,"无销量",D505*30/F505)</x:f>
        <x:v>132</x:v>
      </x:c>
      <x:c r="I505" s="10" t="n">
        <x:f>IF(G505=0,"无销量",D505*90/G505)</x:f>
        <x:v>166.73684210526315</x:v>
      </x:c>
    </x:row>
    <x:row r="506" ht="27" customHeight="1">
      <x:c r="A506" s="2" t="str">
        <x:v>PROD10497</x:v>
      </x:c>
      <x:c r="B506" s="2" t="str">
        <x:v>Sports</x:v>
      </x:c>
      <x:c r="C506" s="2" t="str">
        <x:v>Lall, Smart Yoga</x:v>
      </x:c>
      <x:c r="D506" s="2" t="n">
        <x:v>2073</x:v>
      </x:c>
      <x:c r="E506" s="11" t="n">
        <x:v>46022.5</x:v>
      </x:c>
      <x:c r="F506" s="2" t="n">
        <x:v>19</x:v>
      </x:c>
      <x:c r="G506" s="2" t="n">
        <x:v>37</x:v>
      </x:c>
      <x:c r="H506" s="10" t="n">
        <x:f>IF(F506=0,"无销量",D506*30/F506)</x:f>
        <x:v>3273.157894736842</x:v>
      </x:c>
      <x:c r="I506" s="10" t="n">
        <x:f>IF(G506=0,"无销量",D506*90/G506)</x:f>
        <x:v>5042.4324324324325</x:v>
      </x:c>
    </x:row>
    <x:row r="507" ht="27" customHeight="1">
      <x:c r="A507" s="2" t="str">
        <x:v>PROD10498</x:v>
      </x:c>
      <x:c r="B507" s="2" t="str">
        <x:v>Fashion</x:v>
      </x:c>
      <x:c r="C507" s="2" t="str">
        <x:v>Grewal Signature Men's Bottomwear</x:v>
      </x:c>
      <x:c r="D507" s="2" t="n">
        <x:v>68</x:v>
      </x:c>
      <x:c r="E507" s="11" t="n">
        <x:v>46022.5</x:v>
      </x:c>
      <x:c r="F507" s="2" t="n">
        <x:v>105</x:v>
      </x:c>
      <x:c r="G507" s="2" t="n">
        <x:v>193</x:v>
      </x:c>
      <x:c r="H507" s="10" t="n">
        <x:f>IF(F507=0,"无销量",D507*30/F507)</x:f>
        <x:v>19.428571428571427</x:v>
      </x:c>
      <x:c r="I507" s="10" t="n">
        <x:f>IF(G507=0,"无销量",D507*90/G507)</x:f>
        <x:v>31.70984455958549</x:v>
      </x:c>
    </x:row>
    <x:row r="508" ht="27" customHeight="1">
      <x:c r="A508" s="2" t="str">
        <x:v>PROD10499</x:v>
      </x:c>
      <x:c r="B508" s="2" t="str">
        <x:v>Home &amp; Kitchen</x:v>
      </x:c>
      <x:c r="C508" s="2" t="str">
        <x:v>Konda, Premium Bedding</x:v>
      </x:c>
      <x:c r="D508" s="2" t="n">
        <x:v>1940</x:v>
      </x:c>
      <x:c r="E508" s="11" t="n">
        <x:v>46022.5</x:v>
      </x:c>
      <x:c r="F508" s="2" t="n">
        <x:v>333</x:v>
      </x:c>
      <x:c r="G508" s="2" t="n">
        <x:v>797</x:v>
      </x:c>
      <x:c r="H508" s="10" t="n">
        <x:f>IF(F508=0,"无销量",D508*30/F508)</x:f>
        <x:v>174.77477477477478</x:v>
      </x:c>
      <x:c r="I508" s="10" t="n">
        <x:f>IF(G508=0,"无销量",D508*90/G508)</x:f>
        <x:v>219.0715181932246</x:v>
      </x:c>
    </x:row>
    <x:row r="509" ht="27" customHeight="1">
      <x:c r="A509" s="2" t="str">
        <x:v>PROD10500</x:v>
      </x:c>
      <x:c r="B509" s="2" t="str">
        <x:v>Fashion</x:v>
      </x:c>
      <x:c r="C509" s="2" t="str">
        <x:v>Lall, Signature Women's Ethnic Wear</x:v>
      </x:c>
      <x:c r="D509" s="2" t="n">
        <x:v>961</x:v>
      </x:c>
      <x:c r="E509" s="11" t="n">
        <x:v>46022.5</x:v>
      </x:c>
      <x:c r="F509" s="2" t="n">
        <x:v>33</x:v>
      </x:c>
      <x:c r="G509" s="2" t="n">
        <x:v>46</x:v>
      </x:c>
      <x:c r="H509" s="10" t="n">
        <x:f>IF(F509=0,"无销量",D509*30/F509)</x:f>
        <x:v>873.6363636363636</x:v>
      </x:c>
      <x:c r="I509" s="10" t="n">
        <x:f>IF(G509=0,"无销量",D509*90/G509)</x:f>
        <x:v>1880.2173913043478</x:v>
      </x:c>
    </x:row>
    <x:row r="510" ht="27" customHeight="1">
      <x:c r="A510" s="2" t="str">
        <x:v>PROD10501</x:v>
      </x:c>
      <x:c r="B510" s="2" t="str">
        <x:v>Electronics</x:v>
      </x:c>
      <x:c r="C510" s="2" t="str">
        <x:v>Loke, Deluxe Smartphone</x:v>
      </x:c>
      <x:c r="D510" s="2" t="n">
        <x:v>696</x:v>
      </x:c>
      <x:c r="E510" s="11" t="n">
        <x:v>46022.5</x:v>
      </x:c>
      <x:c r="F510" s="2" t="n">
        <x:v>69</x:v>
      </x:c>
      <x:c r="G510" s="2" t="n">
        <x:v>160</x:v>
      </x:c>
      <x:c r="H510" s="10" t="n">
        <x:f>IF(F510=0,"无销量",D510*30/F510)</x:f>
        <x:v>302.60869565217394</x:v>
      </x:c>
      <x:c r="I510" s="10" t="n">
        <x:f>IF(G510=0,"无销量",D510*90/G510)</x:f>
        <x:v>391.5</x:v>
      </x:c>
    </x:row>
    <x:row r="511" ht="27" customHeight="1">
      <x:c r="A511" s="2" t="str">
        <x:v>PROD10502</x:v>
      </x:c>
      <x:c r="B511" s="2" t="str">
        <x:v>Fashion</x:v>
      </x:c>
      <x:c r="C511" s="2" t="str">
        <x:v>Morar Everyday Women's Western Wear</x:v>
      </x:c>
      <x:c r="D511" s="2" t="n">
        <x:v>2072</x:v>
      </x:c>
      <x:c r="E511" s="11" t="n">
        <x:v>46022.5</x:v>
      </x:c>
      <x:c r="F511" s="2" t="n">
        <x:v>7</x:v>
      </x:c>
      <x:c r="G511" s="2" t="n">
        <x:v>12</x:v>
      </x:c>
      <x:c r="H511" s="10" t="n">
        <x:f>IF(F511=0,"无销量",D511*30/F511)</x:f>
        <x:v>8880</x:v>
      </x:c>
      <x:c r="I511" s="10" t="n">
        <x:f>IF(G511=0,"无销量",D511*90/G511)</x:f>
        <x:v>15540</x:v>
      </x:c>
    </x:row>
    <x:row r="512" ht="27" customHeight="1">
      <x:c r="A512" s="2" t="str">
        <x:v>PROD10503</x:v>
      </x:c>
      <x:c r="B512" s="2" t="str">
        <x:v>Fashion</x:v>
      </x:c>
      <x:c r="C512" s="2" t="str">
        <x:v>Gola Ultra Kids Wear</x:v>
      </x:c>
      <x:c r="D512" s="2" t="n">
        <x:v>2902</x:v>
      </x:c>
      <x:c r="E512" s="11" t="n">
        <x:v>46022.5</x:v>
      </x:c>
      <x:c r="F512" s="2" t="n">
        <x:v>62</x:v>
      </x:c>
      <x:c r="G512" s="2" t="n">
        <x:v>225</x:v>
      </x:c>
      <x:c r="H512" s="10" t="n">
        <x:f>IF(F512=0,"无销量",D512*30/F512)</x:f>
        <x:v>1404.1935483870968</x:v>
      </x:c>
      <x:c r="I512" s="10" t="n">
        <x:f>IF(G512=0,"无销量",D512*90/G512)</x:f>
        <x:v>1160.8</x:v>
      </x:c>
    </x:row>
    <x:row r="513" ht="27" customHeight="1">
      <x:c r="A513" s="2" t="str">
        <x:v>PROD10504</x:v>
      </x:c>
      <x:c r="B513" s="2" t="str">
        <x:v>Personal Care</x:v>
      </x:c>
      <x:c r="C513" s="2" t="str">
        <x:v>Bhatt Compact Bath &amp; Body</x:v>
      </x:c>
      <x:c r="D513" s="2" t="n">
        <x:v>772</x:v>
      </x:c>
      <x:c r="E513" s="11" t="n">
        <x:v>46022.5</x:v>
      </x:c>
      <x:c r="F513" s="2" t="n">
        <x:v>18</x:v>
      </x:c>
      <x:c r="G513" s="2" t="n">
        <x:v>37</x:v>
      </x:c>
      <x:c r="H513" s="10" t="n">
        <x:f>IF(F513=0,"无销量",D513*30/F513)</x:f>
        <x:v>1286.6666666666667</x:v>
      </x:c>
      <x:c r="I513" s="10" t="n">
        <x:f>IF(G513=0,"无销量",D513*90/G513)</x:f>
        <x:v>1877.837837837838</x:v>
      </x:c>
    </x:row>
    <x:row r="514" ht="27" customHeight="1">
      <x:c r="A514" s="2" t="str">
        <x:v>PROD10505</x:v>
      </x:c>
      <x:c r="B514" s="2" t="str">
        <x:v>Fashion</x:v>
      </x:c>
      <x:c r="C514" s="2" t="str">
        <x:v>Murthy Ultra Men's Topwear</x:v>
      </x:c>
      <x:c r="D514" s="2" t="n">
        <x:v>1040</x:v>
      </x:c>
      <x:c r="E514" s="11" t="n">
        <x:v>46022.5</x:v>
      </x:c>
      <x:c r="F514" s="2" t="n">
        <x:v>22</x:v>
      </x:c>
      <x:c r="G514" s="2" t="n">
        <x:v>75</x:v>
      </x:c>
      <x:c r="H514" s="10" t="n">
        <x:f>IF(F514=0,"无销量",D514*30/F514)</x:f>
        <x:v>1418.1818181818182</x:v>
      </x:c>
      <x:c r="I514" s="10" t="n">
        <x:f>IF(G514=0,"无销量",D514*90/G514)</x:f>
        <x:v>1248</x:v>
      </x:c>
    </x:row>
    <x:row r="515" ht="27" customHeight="1">
      <x:c r="A515" s="2" t="str">
        <x:v>PROD10506</x:v>
      </x:c>
      <x:c r="B515" s="2" t="str">
        <x:v>Personal Care</x:v>
      </x:c>
      <x:c r="C515" s="2" t="str">
        <x:v>Chander Advanced Oral Care</x:v>
      </x:c>
      <x:c r="D515" s="2" t="n">
        <x:v>2517</x:v>
      </x:c>
      <x:c r="E515" s="11" t="n">
        <x:v>46022.5</x:v>
      </x:c>
      <x:c r="F515" s="2" t="n">
        <x:v>14</x:v>
      </x:c>
      <x:c r="G515" s="2" t="n">
        <x:v>79</x:v>
      </x:c>
      <x:c r="H515" s="10" t="n">
        <x:f>IF(F515=0,"无销量",D515*30/F515)</x:f>
        <x:v>5393.571428571428</x:v>
      </x:c>
      <x:c r="I515" s="10" t="n">
        <x:f>IF(G515=0,"无销量",D515*90/G515)</x:f>
        <x:v>2867.46835443038</x:v>
      </x:c>
    </x:row>
    <x:row r="516" ht="27" customHeight="1">
      <x:c r="A516" s="2" t="str">
        <x:v>PROD10507</x:v>
      </x:c>
      <x:c r="B516" s="2" t="str">
        <x:v>Grocery</x:v>
      </x:c>
      <x:c r="C516" s="2" t="str">
        <x:v>Lanka, Compact Packaged Food</x:v>
      </x:c>
      <x:c r="D516" s="2" t="n">
        <x:v>630</x:v>
      </x:c>
      <x:c r="E516" s="11" t="n">
        <x:v>46022.5</x:v>
      </x:c>
      <x:c r="F516" s="2" t="n">
        <x:v>35</x:v>
      </x:c>
      <x:c r="G516" s="2" t="n">
        <x:v>89</x:v>
      </x:c>
      <x:c r="H516" s="10" t="n">
        <x:f>IF(F516=0,"无销量",D516*30/F516)</x:f>
        <x:v>540</x:v>
      </x:c>
      <x:c r="I516" s="10" t="n">
        <x:f>IF(G516=0,"无销量",D516*90/G516)</x:f>
        <x:v>637.0786516853933</x:v>
      </x:c>
    </x:row>
    <x:row r="517" ht="27" customHeight="1">
      <x:c r="A517" s="2" t="str">
        <x:v>PROD10508</x:v>
      </x:c>
      <x:c r="B517" s="2" t="str">
        <x:v>Sports</x:v>
      </x:c>
      <x:c r="C517" s="2" t="str">
        <x:v>Parmer Essential Yoga</x:v>
      </x:c>
      <x:c r="D517" s="2" t="n">
        <x:v>429</x:v>
      </x:c>
      <x:c r="E517" s="11" t="n">
        <x:v>46022.5</x:v>
      </x:c>
      <x:c r="F517" s="2" t="n">
        <x:v>67</x:v>
      </x:c>
      <x:c r="G517" s="2" t="n">
        <x:v>195</x:v>
      </x:c>
      <x:c r="H517" s="10" t="n">
        <x:f>IF(F517=0,"无销量",D517*30/F517)</x:f>
        <x:v>192.08955223880596</x:v>
      </x:c>
      <x:c r="I517" s="10" t="n">
        <x:f>IF(G517=0,"无销量",D517*90/G517)</x:f>
        <x:v>198</x:v>
      </x:c>
    </x:row>
    <x:row r="518" ht="27" customHeight="1">
      <x:c r="A518" s="2" t="str">
        <x:v>PROD10509</x:v>
      </x:c>
      <x:c r="B518" s="2" t="str">
        <x:v>Home &amp; Kitchen</x:v>
      </x:c>
      <x:c r="C518" s="2" t="str">
        <x:v>Thaman-Sandhu Premium Home Decor</x:v>
      </x:c>
      <x:c r="D518" s="2" t="n">
        <x:v>1972</x:v>
      </x:c>
      <x:c r="E518" s="11" t="n">
        <x:v>46022.5</x:v>
      </x:c>
      <x:c r="F518" s="2" t="n">
        <x:v>209</x:v>
      </x:c>
      <x:c r="G518" s="2" t="n">
        <x:v>487</x:v>
      </x:c>
      <x:c r="H518" s="10" t="n">
        <x:f>IF(F518=0,"无销量",D518*30/F518)</x:f>
        <x:v>283.0622009569378</x:v>
      </x:c>
      <x:c r="I518" s="10" t="n">
        <x:f>IF(G518=0,"无销量",D518*90/G518)</x:f>
        <x:v>364.43531827515403</x:v>
      </x:c>
    </x:row>
    <x:row r="519" ht="27" customHeight="1">
      <x:c r="A519" s="2" t="str">
        <x:v>PROD10510</x:v>
      </x:c>
      <x:c r="B519" s="2" t="str">
        <x:v>Health &amp; Wellness</x:v>
      </x:c>
      <x:c r="C519" s="2" t="str">
        <x:v>Iyer, Deluxe Supplement</x:v>
      </x:c>
      <x:c r="D519" s="2" t="n">
        <x:v>2987</x:v>
      </x:c>
      <x:c r="E519" s="11" t="n">
        <x:v>46022.5</x:v>
      </x:c>
      <x:c r="F519" s="2" t="n">
        <x:v>583</x:v>
      </x:c>
      <x:c r="G519" s="2" t="n">
        <x:v>1519</x:v>
      </x:c>
      <x:c r="H519" s="10" t="n">
        <x:f>IF(F519=0,"无销量",D519*30/F519)</x:f>
        <x:v>153.70497427101202</x:v>
      </x:c>
      <x:c r="I519" s="10" t="n">
        <x:f>IF(G519=0,"无销量",D519*90/G519)</x:f>
        <x:v>176.97827518104015</x:v>
      </x:c>
    </x:row>
    <x:row r="520" ht="27" customHeight="1">
      <x:c r="A520" s="2" t="str">
        <x:v>PROD10511</x:v>
      </x:c>
      <x:c r="B520" s="2" t="str">
        <x:v>Beauty</x:v>
      </x:c>
      <x:c r="C520" s="2" t="str">
        <x:v>Sidhu-Wadhwa Deluxe Makeup</x:v>
      </x:c>
      <x:c r="D520" s="2" t="n">
        <x:v>888</x:v>
      </x:c>
      <x:c r="E520" s="11" t="n">
        <x:v>46022.5</x:v>
      </x:c>
      <x:c r="F520" s="2" t="n">
        <x:v>104</x:v>
      </x:c>
      <x:c r="G520" s="2" t="n">
        <x:v>199</x:v>
      </x:c>
      <x:c r="H520" s="10" t="n">
        <x:f>IF(F520=0,"无销量",D520*30/F520)</x:f>
        <x:v>256.15384615384613</x:v>
      </x:c>
      <x:c r="I520" s="10" t="n">
        <x:f>IF(G520=0,"无销量",D520*90/G520)</x:f>
        <x:v>401.60804020100505</x:v>
      </x:c>
    </x:row>
    <x:row r="521" ht="27" customHeight="1">
      <x:c r="A521" s="2" t="str">
        <x:v>PROD10512</x:v>
      </x:c>
      <x:c r="B521" s="2" t="str">
        <x:v>Health &amp; Wellness</x:v>
      </x:c>
      <x:c r="C521" s="2" t="str">
        <x:v>Grewal Classic Ayurveda</x:v>
      </x:c>
      <x:c r="D521" s="2" t="n">
        <x:v>749</x:v>
      </x:c>
      <x:c r="E521" s="11" t="n">
        <x:v>46022.5</x:v>
      </x:c>
      <x:c r="F521" s="2" t="n">
        <x:v>103</x:v>
      </x:c>
      <x:c r="G521" s="2" t="n">
        <x:v>267</x:v>
      </x:c>
      <x:c r="H521" s="10" t="n">
        <x:f>IF(F521=0,"无销量",D521*30/F521)</x:f>
        <x:v>218.15533980582524</x:v>
      </x:c>
      <x:c r="I521" s="10" t="n">
        <x:f>IF(G521=0,"无销量",D521*90/G521)</x:f>
        <x:v>252.47191011235955</x:v>
      </x:c>
    </x:row>
    <x:row r="522" ht="27" customHeight="1">
      <x:c r="A522" s="2" t="str">
        <x:v>PROD10513</x:v>
      </x:c>
      <x:c r="B522" s="2" t="str">
        <x:v>Home &amp; Kitchen</x:v>
      </x:c>
      <x:c r="C522" s="2" t="str">
        <x:v>Gupta-Kumar Basic Cookware</x:v>
      </x:c>
      <x:c r="D522" s="2" t="n">
        <x:v>1593</x:v>
      </x:c>
      <x:c r="E522" s="11" t="n">
        <x:v>46022.5</x:v>
      </x:c>
      <x:c r="F522" s="2" t="n">
        <x:v>21</x:v>
      </x:c>
      <x:c r="G522" s="2" t="n">
        <x:v>54</x:v>
      </x:c>
      <x:c r="H522" s="10" t="n">
        <x:f>IF(F522=0,"无销量",D522*30/F522)</x:f>
        <x:v>2275.714285714286</x:v>
      </x:c>
      <x:c r="I522" s="10" t="n">
        <x:f>IF(G522=0,"无销量",D522*90/G522)</x:f>
        <x:v>2655</x:v>
      </x:c>
    </x:row>
    <x:row r="523" ht="27" customHeight="1">
      <x:c r="A523" s="2" t="str">
        <x:v>PROD10514</x:v>
      </x:c>
      <x:c r="B523" s="2" t="str">
        <x:v>Electronics</x:v>
      </x:c>
      <x:c r="C523" s="2" t="str">
        <x:v>Naik Pro Smartwatche</x:v>
      </x:c>
      <x:c r="D523" s="2" t="n">
        <x:v>2209</x:v>
      </x:c>
      <x:c r="E523" s="11" t="n">
        <x:v>46022.5</x:v>
      </x:c>
      <x:c r="F523" s="2" t="n">
        <x:v>6</x:v>
      </x:c>
      <x:c r="G523" s="2" t="n">
        <x:v>20</x:v>
      </x:c>
      <x:c r="H523" s="10" t="n">
        <x:f>IF(F523=0,"无销量",D523*30/F523)</x:f>
        <x:v>11045</x:v>
      </x:c>
      <x:c r="I523" s="10" t="n">
        <x:f>IF(G523=0,"无销量",D523*90/G523)</x:f>
        <x:v>9940.5</x:v>
      </x:c>
    </x:row>
    <x:row r="524" ht="27" customHeight="1">
      <x:c r="A524" s="2" t="str">
        <x:v>PROD10515</x:v>
      </x:c>
      <x:c r="B524" s="2" t="str">
        <x:v>Footwear</x:v>
      </x:c>
      <x:c r="C524" s="2" t="str">
        <x:v>Kade-Sani Basic Sandals &amp; Flip Flop</x:v>
      </x:c>
      <x:c r="D524" s="2" t="n">
        <x:v>1148</x:v>
      </x:c>
      <x:c r="E524" s="11" t="n">
        <x:v>46022.5</x:v>
      </x:c>
      <x:c r="F524" s="2" t="n">
        <x:v>31</x:v>
      </x:c>
      <x:c r="G524" s="2" t="n">
        <x:v>63</x:v>
      </x:c>
      <x:c r="H524" s="10" t="n">
        <x:f>IF(F524=0,"无销量",D524*30/F524)</x:f>
        <x:v>1110.967741935484</x:v>
      </x:c>
      <x:c r="I524" s="10" t="n">
        <x:f>IF(G524=0,"无销量",D524*90/G524)</x:f>
        <x:v>1640</x:v>
      </x:c>
    </x:row>
    <x:row r="525" ht="27" customHeight="1">
      <x:c r="A525" s="2" t="str">
        <x:v>PROD10516</x:v>
      </x:c>
      <x:c r="B525" s="2" t="str">
        <x:v>Personal Care</x:v>
      </x:c>
      <x:c r="C525" s="2" t="str">
        <x:v>Sarin Compact Oral Care</x:v>
      </x:c>
      <x:c r="D525" s="2" t="n">
        <x:v>2274</x:v>
      </x:c>
      <x:c r="E525" s="11" t="n">
        <x:v>46022.5</x:v>
      </x:c>
      <x:c r="F525" s="2" t="n">
        <x:v>2</x:v>
      </x:c>
      <x:c r="G525" s="2" t="n">
        <x:v>10</x:v>
      </x:c>
      <x:c r="H525" s="10" t="n">
        <x:f>IF(F525=0,"无销量",D525*30/F525)</x:f>
        <x:v>34110</x:v>
      </x:c>
      <x:c r="I525" s="10" t="n">
        <x:f>IF(G525=0,"无销量",D525*90/G525)</x:f>
        <x:v>20466</x:v>
      </x:c>
    </x:row>
    <x:row r="526" ht="27" customHeight="1">
      <x:c r="A526" s="2" t="str">
        <x:v>PROD10517</x:v>
      </x:c>
      <x:c r="B526" s="2" t="str">
        <x:v>Electronics</x:v>
      </x:c>
      <x:c r="C526" s="2" t="str">
        <x:v>Mital, Classic Speaker</x:v>
      </x:c>
      <x:c r="D526" s="2" t="n">
        <x:v>1545</x:v>
      </x:c>
      <x:c r="E526" s="11" t="n">
        <x:v>46022.5</x:v>
      </x:c>
      <x:c r="F526" s="2" t="n">
        <x:v>15</x:v>
      </x:c>
      <x:c r="G526" s="2" t="n">
        <x:v>55</x:v>
      </x:c>
      <x:c r="H526" s="10" t="n">
        <x:f>IF(F526=0,"无销量",D526*30/F526)</x:f>
        <x:v>3090</x:v>
      </x:c>
      <x:c r="I526" s="10" t="n">
        <x:f>IF(G526=0,"无销量",D526*90/G526)</x:f>
        <x:v>2528.181818181818</x:v>
      </x:c>
    </x:row>
    <x:row r="527" ht="27" customHeight="1">
      <x:c r="A527" s="2" t="str">
        <x:v>PROD10518</x:v>
      </x:c>
      <x:c r="B527" s="2" t="str">
        <x:v>Grocery</x:v>
      </x:c>
      <x:c r="C527" s="2" t="str">
        <x:v>Chanda Ultra Dairy</x:v>
      </x:c>
      <x:c r="D527" s="2" t="n">
        <x:v>1243</x:v>
      </x:c>
      <x:c r="E527" s="11" t="n">
        <x:v>46022.5</x:v>
      </x:c>
      <x:c r="F527" s="2" t="n">
        <x:v>55</x:v>
      </x:c>
      <x:c r="G527" s="2" t="n">
        <x:v>106</x:v>
      </x:c>
      <x:c r="H527" s="10" t="n">
        <x:f>IF(F527=0,"无销量",D527*30/F527)</x:f>
        <x:v>678</x:v>
      </x:c>
      <x:c r="I527" s="10" t="n">
        <x:f>IF(G527=0,"无销量",D527*90/G527)</x:f>
        <x:v>1055.377358490566</x:v>
      </x:c>
    </x:row>
    <x:row r="528" ht="27" customHeight="1">
      <x:c r="A528" s="2" t="str">
        <x:v>PROD10519</x:v>
      </x:c>
      <x:c r="B528" s="2" t="str">
        <x:v>Personal Care</x:v>
      </x:c>
      <x:c r="C528" s="2" t="str">
        <x:v>Iyengar Classic Oral Care</x:v>
      </x:c>
      <x:c r="D528" s="2" t="n">
        <x:v>1924</x:v>
      </x:c>
      <x:c r="E528" s="11" t="n">
        <x:v>46022.5</x:v>
      </x:c>
      <x:c r="F528" s="2" t="n">
        <x:v>7</x:v>
      </x:c>
      <x:c r="G528" s="2" t="n">
        <x:v>31</x:v>
      </x:c>
      <x:c r="H528" s="10" t="n">
        <x:f>IF(F528=0,"无销量",D528*30/F528)</x:f>
        <x:v>8245.714285714286</x:v>
      </x:c>
      <x:c r="I528" s="10" t="n">
        <x:f>IF(G528=0,"无销量",D528*90/G528)</x:f>
        <x:v>5585.806451612903</x:v>
      </x:c>
    </x:row>
    <x:row r="529" ht="27" customHeight="1">
      <x:c r="A529" s="2" t="str">
        <x:v>PROD10520</x:v>
      </x:c>
      <x:c r="B529" s="2" t="str">
        <x:v>Bags</x:v>
      </x:c>
      <x:c r="C529" s="2" t="str">
        <x:v>Kohli-Divan Ultra Travel Bag</x:v>
      </x:c>
      <x:c r="D529" s="2" t="n">
        <x:v>1249</x:v>
      </x:c>
      <x:c r="E529" s="11" t="n">
        <x:v>46022.5</x:v>
      </x:c>
      <x:c r="F529" s="2" t="n">
        <x:v>17</x:v>
      </x:c>
      <x:c r="G529" s="2" t="n">
        <x:v>48</x:v>
      </x:c>
      <x:c r="H529" s="10" t="n">
        <x:f>IF(F529=0,"无销量",D529*30/F529)</x:f>
        <x:v>2204.1176470588234</x:v>
      </x:c>
      <x:c r="I529" s="10" t="n">
        <x:f>IF(G529=0,"无销量",D529*90/G529)</x:f>
        <x:v>2341.875</x:v>
      </x:c>
    </x:row>
    <x:row r="530" ht="27" customHeight="1">
      <x:c r="A530" s="2" t="str">
        <x:v>PROD10521</x:v>
      </x:c>
      <x:c r="B530" s="2" t="str">
        <x:v>Electronics</x:v>
      </x:c>
      <x:c r="C530" s="2" t="str">
        <x:v>Nath Basic Camera</x:v>
      </x:c>
      <x:c r="D530" s="2" t="n">
        <x:v>2767</x:v>
      </x:c>
      <x:c r="E530" s="11" t="n">
        <x:v>46022.5</x:v>
      </x:c>
      <x:c r="F530" s="2" t="n">
        <x:v>67</x:v>
      </x:c>
      <x:c r="G530" s="2" t="n">
        <x:v>209</x:v>
      </x:c>
      <x:c r="H530" s="10" t="n">
        <x:f>IF(F530=0,"无销量",D530*30/F530)</x:f>
        <x:v>1238.955223880597</x:v>
      </x:c>
      <x:c r="I530" s="10" t="n">
        <x:f>IF(G530=0,"无销量",D530*90/G530)</x:f>
        <x:v>1191.531100478469</x:v>
      </x:c>
    </x:row>
    <x:row r="531" ht="27" customHeight="1">
      <x:c r="A531" s="2" t="str">
        <x:v>PROD10522</x:v>
      </x:c>
      <x:c r="B531" s="2" t="str">
        <x:v>Grocery</x:v>
      </x:c>
      <x:c r="C531" s="2" t="str">
        <x:v>Kala-Rattan Classic Dairy</x:v>
      </x:c>
      <x:c r="D531" s="2" t="n">
        <x:v>2567</x:v>
      </x:c>
      <x:c r="E531" s="11" t="n">
        <x:v>46022.5</x:v>
      </x:c>
      <x:c r="F531" s="2" t="n">
        <x:v>23</x:v>
      </x:c>
      <x:c r="G531" s="2" t="n">
        <x:v>68</x:v>
      </x:c>
      <x:c r="H531" s="10" t="n">
        <x:f>IF(F531=0,"无销量",D531*30/F531)</x:f>
        <x:v>3348.2608695652175</x:v>
      </x:c>
      <x:c r="I531" s="10" t="n">
        <x:f>IF(G531=0,"无销量",D531*90/G531)</x:f>
        <x:v>3397.5</x:v>
      </x:c>
    </x:row>
    <x:row r="532" ht="27" customHeight="1">
      <x:c r="A532" s="2" t="str">
        <x:v>PROD10523</x:v>
      </x:c>
      <x:c r="B532" s="2" t="str">
        <x:v>Home &amp; Kitchen</x:v>
      </x:c>
      <x:c r="C532" s="2" t="str">
        <x:v>Bala, Smart Home Decor</x:v>
      </x:c>
      <x:c r="D532" s="2" t="n">
        <x:v>141</x:v>
      </x:c>
      <x:c r="E532" s="11" t="n">
        <x:v>46022.5</x:v>
      </x:c>
      <x:c r="F532" s="2" t="n">
        <x:v>5</x:v>
      </x:c>
      <x:c r="G532" s="2" t="n">
        <x:v>10</x:v>
      </x:c>
      <x:c r="H532" s="10" t="n">
        <x:f>IF(F532=0,"无销量",D532*30/F532)</x:f>
        <x:v>846</x:v>
      </x:c>
      <x:c r="I532" s="10" t="n">
        <x:f>IF(G532=0,"无销量",D532*90/G532)</x:f>
        <x:v>1269</x:v>
      </x:c>
    </x:row>
    <x:row r="533" ht="27" customHeight="1">
      <x:c r="A533" s="2" t="str">
        <x:v>PROD10524</x:v>
      </x:c>
      <x:c r="B533" s="2" t="str">
        <x:v>Beauty</x:v>
      </x:c>
      <x:c r="C533" s="2" t="str">
        <x:v>Iyengar Basic Makeup</x:v>
      </x:c>
      <x:c r="D533" s="2" t="n">
        <x:v>2084</x:v>
      </x:c>
      <x:c r="E533" s="11" t="n">
        <x:v>46022.5</x:v>
      </x:c>
      <x:c r="F533" s="2" t="n">
        <x:v>154</x:v>
      </x:c>
      <x:c r="G533" s="2" t="n">
        <x:v>453</x:v>
      </x:c>
      <x:c r="H533" s="10" t="n">
        <x:f>IF(F533=0,"无销量",D533*30/F533)</x:f>
        <x:v>405.97402597402595</x:v>
      </x:c>
      <x:c r="I533" s="10" t="n">
        <x:f>IF(G533=0,"无销量",D533*90/G533)</x:f>
        <x:v>414.03973509933775</x:v>
      </x:c>
    </x:row>
    <x:row r="534" ht="27" customHeight="1">
      <x:c r="A534" s="2" t="str">
        <x:v>PROD10525</x:v>
      </x:c>
      <x:c r="B534" s="2" t="str">
        <x:v>Bags</x:v>
      </x:c>
      <x:c r="C534" s="2" t="str">
        <x:v>Madan-Kanda Ultra Travel Bag</x:v>
      </x:c>
      <x:c r="D534" s="2" t="n">
        <x:v>2754</x:v>
      </x:c>
      <x:c r="E534" s="11" t="n">
        <x:v>46022.5</x:v>
      </x:c>
      <x:c r="F534" s="2" t="n">
        <x:v>104</x:v>
      </x:c>
      <x:c r="G534" s="2" t="n">
        <x:v>314</x:v>
      </x:c>
      <x:c r="H534" s="10" t="n">
        <x:f>IF(F534=0,"无销量",D534*30/F534)</x:f>
        <x:v>794.4230769230769</x:v>
      </x:c>
      <x:c r="I534" s="10" t="n">
        <x:f>IF(G534=0,"无销量",D534*90/G534)</x:f>
        <x:v>789.3630573248407</x:v>
      </x:c>
    </x:row>
    <x:row r="535" ht="27" customHeight="1">
      <x:c r="A535" s="2" t="str">
        <x:v>PROD10526</x:v>
      </x:c>
      <x:c r="B535" s="2" t="str">
        <x:v>Furniture</x:v>
      </x:c>
      <x:c r="C535" s="2" t="str">
        <x:v>Gupta-Chandra Ultra Living Room</x:v>
      </x:c>
      <x:c r="D535" s="2" t="n">
        <x:v>1382</x:v>
      </x:c>
      <x:c r="E535" s="11" t="n">
        <x:v>46022.5</x:v>
      </x:c>
      <x:c r="F535" s="2" t="n">
        <x:v>91</x:v>
      </x:c>
      <x:c r="G535" s="2" t="n">
        <x:v>197</x:v>
      </x:c>
      <x:c r="H535" s="10" t="n">
        <x:f>IF(F535=0,"无销量",D535*30/F535)</x:f>
        <x:v>455.6043956043956</x:v>
      </x:c>
      <x:c r="I535" s="10" t="n">
        <x:f>IF(G535=0,"无销量",D535*90/G535)</x:f>
        <x:v>631.3705583756346</x:v>
      </x:c>
    </x:row>
    <x:row r="536" ht="27" customHeight="1">
      <x:c r="A536" s="2" t="str">
        <x:v>PROD10527</x:v>
      </x:c>
      <x:c r="B536" s="2" t="str">
        <x:v>Electronics</x:v>
      </x:c>
      <x:c r="C536" s="2" t="str">
        <x:v>Behl-Chanda Compact Camera</x:v>
      </x:c>
      <x:c r="D536" s="2" t="n">
        <x:v>921</x:v>
      </x:c>
      <x:c r="E536" s="11" t="n">
        <x:v>46022.5</x:v>
      </x:c>
      <x:c r="F536" s="2" t="n">
        <x:v>207</x:v>
      </x:c>
      <x:c r="G536" s="2" t="n">
        <x:v>460</x:v>
      </x:c>
      <x:c r="H536" s="10" t="n">
        <x:f>IF(F536=0,"无销量",D536*30/F536)</x:f>
        <x:v>133.47826086956522</x:v>
      </x:c>
      <x:c r="I536" s="10" t="n">
        <x:f>IF(G536=0,"无销量",D536*90/G536)</x:f>
        <x:v>180.19565217391303</x:v>
      </x:c>
    </x:row>
    <x:row r="537" ht="27" customHeight="1">
      <x:c r="A537" s="2" t="str">
        <x:v>PROD10528</x:v>
      </x:c>
      <x:c r="B537" s="2" t="str">
        <x:v>Mobile Accessories</x:v>
      </x:c>
      <x:c r="C537" s="2" t="str">
        <x:v>Kade, Deluxe Charger</x:v>
      </x:c>
      <x:c r="D537" s="2" t="n">
        <x:v>412</x:v>
      </x:c>
      <x:c r="E537" s="11" t="n">
        <x:v>46022.5</x:v>
      </x:c>
      <x:c r="F537" s="2" t="n">
        <x:v>58</x:v>
      </x:c>
      <x:c r="G537" s="2" t="n">
        <x:v>178</x:v>
      </x:c>
      <x:c r="H537" s="10" t="n">
        <x:f>IF(F537=0,"无销量",D537*30/F537)</x:f>
        <x:v>213.10344827586206</x:v>
      </x:c>
      <x:c r="I537" s="10" t="n">
        <x:f>IF(G537=0,"无销量",D537*90/G537)</x:f>
        <x:v>208.31460674157304</x:v>
      </x:c>
    </x:row>
    <x:row r="538" ht="27" customHeight="1">
      <x:c r="A538" s="2" t="str">
        <x:v>PROD10529</x:v>
      </x:c>
      <x:c r="B538" s="2" t="str">
        <x:v>Grocery</x:v>
      </x:c>
      <x:c r="C538" s="2" t="str">
        <x:v>Karpe Smart Beverage</x:v>
      </x:c>
      <x:c r="D538" s="2" t="n">
        <x:v>286</x:v>
      </x:c>
      <x:c r="E538" s="11" t="n">
        <x:v>46022.5</x:v>
      </x:c>
      <x:c r="F538" s="2" t="n">
        <x:v>36</x:v>
      </x:c>
      <x:c r="G538" s="2" t="n">
        <x:v>69</x:v>
      </x:c>
      <x:c r="H538" s="10" t="n">
        <x:f>IF(F538=0,"无销量",D538*30/F538)</x:f>
        <x:v>238.33333333333334</x:v>
      </x:c>
      <x:c r="I538" s="10" t="n">
        <x:f>IF(G538=0,"无销量",D538*90/G538)</x:f>
        <x:v>373.04347826086956</x:v>
      </x:c>
    </x:row>
    <x:row r="539" ht="27" customHeight="1">
      <x:c r="A539" s="2" t="str">
        <x:v>PROD10530</x:v>
      </x:c>
      <x:c r="B539" s="2" t="str">
        <x:v>Appliances</x:v>
      </x:c>
      <x:c r="C539" s="2" t="str">
        <x:v>Pant-Kadakia Compact Large Appliance</x:v>
      </x:c>
      <x:c r="D539" s="2" t="n">
        <x:v>612</x:v>
      </x:c>
      <x:c r="E539" s="11" t="n">
        <x:v>46022.5</x:v>
      </x:c>
      <x:c r="F539" s="2" t="n">
        <x:v>2</x:v>
      </x:c>
      <x:c r="G539" s="2" t="n">
        <x:v>3</x:v>
      </x:c>
      <x:c r="H539" s="10" t="n">
        <x:f>IF(F539=0,"无销量",D539*30/F539)</x:f>
        <x:v>9180</x:v>
      </x:c>
      <x:c r="I539" s="10" t="n">
        <x:f>IF(G539=0,"无销量",D539*90/G539)</x:f>
        <x:v>18360</x:v>
      </x:c>
    </x:row>
    <x:row r="540" ht="27" customHeight="1">
      <x:c r="A540" s="2" t="str">
        <x:v>PROD10531</x:v>
      </x:c>
      <x:c r="B540" s="2" t="str">
        <x:v>Electronics</x:v>
      </x:c>
      <x:c r="C540" s="2" t="str">
        <x:v>Yohannan, Compact Tablet</x:v>
      </x:c>
      <x:c r="D540" s="2" t="n">
        <x:v>570</x:v>
      </x:c>
      <x:c r="E540" s="11" t="n">
        <x:v>46022.5</x:v>
      </x:c>
      <x:c r="F540" s="2" t="n">
        <x:v>86</x:v>
      </x:c>
      <x:c r="G540" s="2" t="n">
        <x:v>211</x:v>
      </x:c>
      <x:c r="H540" s="10" t="n">
        <x:f>IF(F540=0,"无销量",D540*30/F540)</x:f>
        <x:v>198.8372093023256</x:v>
      </x:c>
      <x:c r="I540" s="10" t="n">
        <x:f>IF(G540=0,"无销量",D540*90/G540)</x:f>
        <x:v>243.12796208530807</x:v>
      </x:c>
    </x:row>
    <x:row r="541" ht="27" customHeight="1">
      <x:c r="A541" s="2" t="str">
        <x:v>PROD10532</x:v>
      </x:c>
      <x:c r="B541" s="2" t="str">
        <x:v>Mobile Accessories</x:v>
      </x:c>
      <x:c r="C541" s="2" t="str">
        <x:v>Dave Smart Screen Guard</x:v>
      </x:c>
      <x:c r="D541" s="2" t="n">
        <x:v>1753</x:v>
      </x:c>
      <x:c r="E541" s="11" t="n">
        <x:v>46022.5</x:v>
      </x:c>
      <x:c r="F541" s="2" t="n">
        <x:v>12</x:v>
      </x:c>
      <x:c r="G541" s="2" t="n">
        <x:v>31</x:v>
      </x:c>
      <x:c r="H541" s="10" t="n">
        <x:f>IF(F541=0,"无销量",D541*30/F541)</x:f>
        <x:v>4382.5</x:v>
      </x:c>
      <x:c r="I541" s="10" t="n">
        <x:f>IF(G541=0,"无销量",D541*90/G541)</x:f>
        <x:v>5089.354838709677</x:v>
      </x:c>
    </x:row>
    <x:row r="542" ht="27" customHeight="1">
      <x:c r="A542" s="2" t="str">
        <x:v>PROD10533</x:v>
      </x:c>
      <x:c r="B542" s="2" t="str">
        <x:v>Electronics</x:v>
      </x:c>
      <x:c r="C542" s="2" t="str">
        <x:v>Yadav, Essential Headphone</x:v>
      </x:c>
      <x:c r="D542" s="2" t="n">
        <x:v>1051</x:v>
      </x:c>
      <x:c r="E542" s="11" t="n">
        <x:v>46022.5</x:v>
      </x:c>
      <x:c r="F542" s="2" t="n">
        <x:v>9</x:v>
      </x:c>
      <x:c r="G542" s="2" t="n">
        <x:v>13</x:v>
      </x:c>
      <x:c r="H542" s="10" t="n">
        <x:f>IF(F542=0,"无销量",D542*30/F542)</x:f>
        <x:v>3503.3333333333335</x:v>
      </x:c>
      <x:c r="I542" s="10" t="n">
        <x:f>IF(G542=0,"无销量",D542*90/G542)</x:f>
        <x:v>7276.153846153846</x:v>
      </x:c>
    </x:row>
    <x:row r="543" ht="27" customHeight="1">
      <x:c r="A543" s="2" t="str">
        <x:v>PROD10534</x:v>
      </x:c>
      <x:c r="B543" s="2" t="str">
        <x:v>Grocery</x:v>
      </x:c>
      <x:c r="C543" s="2" t="str">
        <x:v>Yadav, Deluxe Staple</x:v>
      </x:c>
      <x:c r="D543" s="2" t="n">
        <x:v>2236</x:v>
      </x:c>
      <x:c r="E543" s="11" t="n">
        <x:v>46022.5</x:v>
      </x:c>
      <x:c r="F543" s="2" t="n">
        <x:v>14</x:v>
      </x:c>
      <x:c r="G543" s="2" t="n">
        <x:v>37</x:v>
      </x:c>
      <x:c r="H543" s="10" t="n">
        <x:f>IF(F543=0,"无销量",D543*30/F543)</x:f>
        <x:v>4791.428571428572</x:v>
      </x:c>
      <x:c r="I543" s="10" t="n">
        <x:f>IF(G543=0,"无销量",D543*90/G543)</x:f>
        <x:v>5438.918918918919</x:v>
      </x:c>
    </x:row>
    <x:row r="544" ht="27" customHeight="1">
      <x:c r="A544" s="2" t="str">
        <x:v>PROD10535</x:v>
      </x:c>
      <x:c r="B544" s="2" t="str">
        <x:v>Books</x:v>
      </x:c>
      <x:c r="C544" s="2" t="str">
        <x:v>Naik Signature Non-Fiction</x:v>
      </x:c>
      <x:c r="D544" s="2" t="n">
        <x:v>2383</x:v>
      </x:c>
      <x:c r="E544" s="11" t="n">
        <x:v>46022.5</x:v>
      </x:c>
      <x:c r="F544" s="2" t="n">
        <x:v>152</x:v>
      </x:c>
      <x:c r="G544" s="2" t="n">
        <x:v>324</x:v>
      </x:c>
      <x:c r="H544" s="10" t="n">
        <x:f>IF(F544=0,"无销量",D544*30/F544)</x:f>
        <x:v>470.32894736842104</x:v>
      </x:c>
      <x:c r="I544" s="10" t="n">
        <x:f>IF(G544=0,"无销量",D544*90/G544)</x:f>
        <x:v>661.9444444444445</x:v>
      </x:c>
    </x:row>
    <x:row r="545" ht="27" customHeight="1">
      <x:c r="A545" s="2" t="str">
        <x:v>PROD10536</x:v>
      </x:c>
      <x:c r="B545" s="2" t="str">
        <x:v>Beauty</x:v>
      </x:c>
      <x:c r="C545" s="2" t="str">
        <x:v>Pant-Kadakia Pro Makeup</x:v>
      </x:c>
      <x:c r="D545" s="2" t="n">
        <x:v>1934</x:v>
      </x:c>
      <x:c r="E545" s="11" t="n">
        <x:v>46022.5</x:v>
      </x:c>
      <x:c r="F545" s="2" t="n">
        <x:v>23</x:v>
      </x:c>
      <x:c r="G545" s="2" t="n">
        <x:v>65</x:v>
      </x:c>
      <x:c r="H545" s="10" t="n">
        <x:f>IF(F545=0,"无销量",D545*30/F545)</x:f>
        <x:v>2522.608695652174</x:v>
      </x:c>
      <x:c r="I545" s="10" t="n">
        <x:f>IF(G545=0,"无销量",D545*90/G545)</x:f>
        <x:v>2677.846153846154</x:v>
      </x:c>
    </x:row>
    <x:row r="546" ht="27" customHeight="1">
      <x:c r="A546" s="2" t="str">
        <x:v>PROD10537</x:v>
      </x:c>
      <x:c r="B546" s="2" t="str">
        <x:v>Bags</x:v>
      </x:c>
      <x:c r="C546" s="2" t="str">
        <x:v>Mody-Kari Signature Wallet</x:v>
      </x:c>
      <x:c r="D546" s="2" t="n">
        <x:v>2209</x:v>
      </x:c>
      <x:c r="E546" s="11" t="n">
        <x:v>46022.5</x:v>
      </x:c>
      <x:c r="F546" s="2" t="n">
        <x:v>8</x:v>
      </x:c>
      <x:c r="G546" s="2" t="n">
        <x:v>29</x:v>
      </x:c>
      <x:c r="H546" s="10" t="n">
        <x:f>IF(F546=0,"无销量",D546*30/F546)</x:f>
        <x:v>8283.75</x:v>
      </x:c>
      <x:c r="I546" s="10" t="n">
        <x:f>IF(G546=0,"无销量",D546*90/G546)</x:f>
        <x:v>6855.517241379311</x:v>
      </x:c>
    </x:row>
    <x:row r="547" ht="27" customHeight="1">
      <x:c r="A547" s="2" t="str">
        <x:v>PROD10538</x:v>
      </x:c>
      <x:c r="B547" s="2" t="str">
        <x:v>Books</x:v>
      </x:c>
      <x:c r="C547" s="2" t="str">
        <x:v>Sabharwal-Kothari Advanced Comic</x:v>
      </x:c>
      <x:c r="D547" s="2" t="n">
        <x:v>2485</x:v>
      </x:c>
      <x:c r="E547" s="11" t="n">
        <x:v>46022.5</x:v>
      </x:c>
      <x:c r="F547" s="2" t="n">
        <x:v>34</x:v>
      </x:c>
      <x:c r="G547" s="2" t="n">
        <x:v>80</x:v>
      </x:c>
      <x:c r="H547" s="10" t="n">
        <x:f>IF(F547=0,"无销量",D547*30/F547)</x:f>
        <x:v>2192.6470588235293</x:v>
      </x:c>
      <x:c r="I547" s="10" t="n">
        <x:f>IF(G547=0,"无销量",D547*90/G547)</x:f>
        <x:v>2795.625</x:v>
      </x:c>
    </x:row>
    <x:row r="548" ht="27" customHeight="1">
      <x:c r="A548" s="2" t="str">
        <x:v>PROD10539</x:v>
      </x:c>
      <x:c r="B548" s="2" t="str">
        <x:v>Bags</x:v>
      </x:c>
      <x:c r="C548" s="2" t="str">
        <x:v>Bhat, Pro Travel Bag</x:v>
      </x:c>
      <x:c r="D548" s="2" t="n">
        <x:v>2902</x:v>
      </x:c>
      <x:c r="E548" s="11" t="n">
        <x:v>46022.5</x:v>
      </x:c>
      <x:c r="F548" s="2" t="n">
        <x:v>8</x:v>
      </x:c>
      <x:c r="G548" s="2" t="n">
        <x:v>12</x:v>
      </x:c>
      <x:c r="H548" s="10" t="n">
        <x:f>IF(F548=0,"无销量",D548*30/F548)</x:f>
        <x:v>10882.5</x:v>
      </x:c>
      <x:c r="I548" s="10" t="n">
        <x:f>IF(G548=0,"无销量",D548*90/G548)</x:f>
        <x:v>21765</x:v>
      </x:c>
    </x:row>
    <x:row r="549" ht="27" customHeight="1">
      <x:c r="A549" s="2" t="str">
        <x:v>PROD10540</x:v>
      </x:c>
      <x:c r="B549" s="2" t="str">
        <x:v>Toys</x:v>
      </x:c>
      <x:c r="C549" s="2" t="str">
        <x:v>Rai Everyday Soft Toy</x:v>
      </x:c>
      <x:c r="D549" s="2" t="n">
        <x:v>916</x:v>
      </x:c>
      <x:c r="E549" s="11" t="n">
        <x:v>46022.5</x:v>
      </x:c>
      <x:c r="F549" s="2" t="n">
        <x:v>15</x:v>
      </x:c>
      <x:c r="G549" s="2" t="n">
        <x:v>59</x:v>
      </x:c>
      <x:c r="H549" s="10" t="n">
        <x:f>IF(F549=0,"无销量",D549*30/F549)</x:f>
        <x:v>1832</x:v>
      </x:c>
      <x:c r="I549" s="10" t="n">
        <x:f>IF(G549=0,"无销量",D549*90/G549)</x:f>
        <x:v>1397.2881355932204</x:v>
      </x:c>
    </x:row>
    <x:row r="550" ht="27" customHeight="1">
      <x:c r="A550" s="2" t="str">
        <x:v>PROD10541</x:v>
      </x:c>
      <x:c r="B550" s="2" t="str">
        <x:v>Books</x:v>
      </x:c>
      <x:c r="C550" s="2" t="str">
        <x:v>Mangal-Sampath Deluxe Children's Book</x:v>
      </x:c>
      <x:c r="D550" s="2" t="n">
        <x:v>141</x:v>
      </x:c>
      <x:c r="E550" s="11" t="n">
        <x:v>46022.5</x:v>
      </x:c>
      <x:c r="F550" s="2" t="n">
        <x:v>148</x:v>
      </x:c>
      <x:c r="G550" s="2" t="n">
        <x:v>392</x:v>
      </x:c>
      <x:c r="H550" s="10" t="n">
        <x:f>IF(F550=0,"无销量",D550*30/F550)</x:f>
        <x:v>28.58108108108108</x:v>
      </x:c>
      <x:c r="I550" s="10" t="n">
        <x:f>IF(G550=0,"无销量",D550*90/G550)</x:f>
        <x:v>32.37244897959184</x:v>
      </x:c>
    </x:row>
    <x:row r="551" ht="27" customHeight="1">
      <x:c r="A551" s="2" t="str">
        <x:v>PROD10542</x:v>
      </x:c>
      <x:c r="B551" s="2" t="str">
        <x:v>Beauty</x:v>
      </x:c>
      <x:c r="C551" s="2" t="str">
        <x:v>Mital, Compact Skincare</x:v>
      </x:c>
      <x:c r="D551" s="2" t="n">
        <x:v>532</x:v>
      </x:c>
      <x:c r="E551" s="11" t="n">
        <x:v>46022.5</x:v>
      </x:c>
      <x:c r="F551" s="2" t="n">
        <x:v>2</x:v>
      </x:c>
      <x:c r="G551" s="2" t="n">
        <x:v>6</x:v>
      </x:c>
      <x:c r="H551" s="10" t="n">
        <x:f>IF(F551=0,"无销量",D551*30/F551)</x:f>
        <x:v>7980</x:v>
      </x:c>
      <x:c r="I551" s="10" t="n">
        <x:f>IF(G551=0,"无销量",D551*90/G551)</x:f>
        <x:v>7980</x:v>
      </x:c>
    </x:row>
    <x:row r="552" ht="27" customHeight="1">
      <x:c r="A552" s="2" t="str">
        <x:v>PROD10543</x:v>
      </x:c>
      <x:c r="B552" s="2" t="str">
        <x:v>Grocery</x:v>
      </x:c>
      <x:c r="C552" s="2" t="str">
        <x:v>Kalla-Bhardwaj Everyday Staple</x:v>
      </x:c>
      <x:c r="D552" s="2" t="n">
        <x:v>668</x:v>
      </x:c>
      <x:c r="E552" s="11" t="n">
        <x:v>46022.5</x:v>
      </x:c>
      <x:c r="F552" s="2" t="n">
        <x:v>21</x:v>
      </x:c>
      <x:c r="G552" s="2" t="n">
        <x:v>38</x:v>
      </x:c>
      <x:c r="H552" s="10" t="n">
        <x:f>IF(F552=0,"无销量",D552*30/F552)</x:f>
        <x:v>954.2857142857143</x:v>
      </x:c>
      <x:c r="I552" s="10" t="n">
        <x:f>IF(G552=0,"无销量",D552*90/G552)</x:f>
        <x:v>1582.1052631578948</x:v>
      </x:c>
    </x:row>
    <x:row r="553" ht="27" customHeight="1">
      <x:c r="A553" s="2" t="str">
        <x:v>PROD10544</x:v>
      </x:c>
      <x:c r="B553" s="2" t="str">
        <x:v>Home &amp; Kitchen</x:v>
      </x:c>
      <x:c r="C553" s="2" t="str">
        <x:v>Kale Premium Home Decor</x:v>
      </x:c>
      <x:c r="D553" s="2" t="n">
        <x:v>1067</x:v>
      </x:c>
      <x:c r="E553" s="11" t="n">
        <x:v>46022.5</x:v>
      </x:c>
      <x:c r="F553" s="2" t="n">
        <x:v>23</x:v>
      </x:c>
      <x:c r="G553" s="2" t="n">
        <x:v>58</x:v>
      </x:c>
      <x:c r="H553" s="10" t="n">
        <x:f>IF(F553=0,"无销量",D553*30/F553)</x:f>
        <x:v>1391.7391304347825</x:v>
      </x:c>
      <x:c r="I553" s="10" t="n">
        <x:f>IF(G553=0,"无销量",D553*90/G553)</x:f>
        <x:v>1655.6896551724137</x:v>
      </x:c>
    </x:row>
    <x:row r="554" ht="27" customHeight="1">
      <x:c r="A554" s="2" t="str">
        <x:v>PROD10545</x:v>
      </x:c>
      <x:c r="B554" s="2" t="str">
        <x:v>Mobile Accessories</x:v>
      </x:c>
      <x:c r="C554" s="2" t="str">
        <x:v>Ray Classic Phone Case</x:v>
      </x:c>
      <x:c r="D554" s="2" t="n">
        <x:v>1095</x:v>
      </x:c>
      <x:c r="E554" s="11" t="n">
        <x:v>46022.5</x:v>
      </x:c>
      <x:c r="F554" s="2" t="n">
        <x:v>15</x:v>
      </x:c>
      <x:c r="G554" s="2" t="n">
        <x:v>34</x:v>
      </x:c>
      <x:c r="H554" s="10" t="n">
        <x:f>IF(F554=0,"无销量",D554*30/F554)</x:f>
        <x:v>2190</x:v>
      </x:c>
      <x:c r="I554" s="10" t="n">
        <x:f>IF(G554=0,"无销量",D554*90/G554)</x:f>
        <x:v>2898.529411764706</x:v>
      </x:c>
    </x:row>
    <x:row r="555" ht="27" customHeight="1">
      <x:c r="A555" s="2" t="str">
        <x:v>PROD10546</x:v>
      </x:c>
      <x:c r="B555" s="2" t="str">
        <x:v>Grocery</x:v>
      </x:c>
      <x:c r="C555" s="2" t="str">
        <x:v>Wali-Nadig Compact Staple</x:v>
      </x:c>
      <x:c r="D555" s="2" t="n">
        <x:v>2230</x:v>
      </x:c>
      <x:c r="E555" s="11" t="n">
        <x:v>46022.5</x:v>
      </x:c>
      <x:c r="F555" s="2" t="n">
        <x:v>18</x:v>
      </x:c>
      <x:c r="G555" s="2" t="n">
        <x:v>45</x:v>
      </x:c>
      <x:c r="H555" s="10" t="n">
        <x:f>IF(F555=0,"无销量",D555*30/F555)</x:f>
        <x:v>3716.6666666666665</x:v>
      </x:c>
      <x:c r="I555" s="10" t="n">
        <x:f>IF(G555=0,"无销量",D555*90/G555)</x:f>
        <x:v>4460</x:v>
      </x:c>
    </x:row>
    <x:row r="556" ht="27" customHeight="1">
      <x:c r="A556" s="2" t="str">
        <x:v>PROD10547</x:v>
      </x:c>
      <x:c r="B556" s="2" t="str">
        <x:v>Health &amp; Wellness</x:v>
      </x:c>
      <x:c r="C556" s="2" t="str">
        <x:v>Mody-Kari Signature Ayurveda</x:v>
      </x:c>
      <x:c r="D556" s="2" t="n">
        <x:v>28</x:v>
      </x:c>
      <x:c r="E556" s="11" t="n">
        <x:v>46022.5</x:v>
      </x:c>
      <x:c r="F556" s="2" t="n">
        <x:v>14</x:v>
      </x:c>
      <x:c r="G556" s="2" t="n">
        <x:v>38</x:v>
      </x:c>
      <x:c r="H556" s="10" t="n">
        <x:f>IF(F556=0,"无销量",D556*30/F556)</x:f>
        <x:v>60</x:v>
      </x:c>
      <x:c r="I556" s="10" t="n">
        <x:f>IF(G556=0,"无销量",D556*90/G556)</x:f>
        <x:v>66.3157894736842</x:v>
      </x:c>
    </x:row>
    <x:row r="557" ht="27" customHeight="1">
      <x:c r="A557" s="2" t="str">
        <x:v>PROD10548</x:v>
      </x:c>
      <x:c r="B557" s="2" t="str">
        <x:v>Fashion</x:v>
      </x:c>
      <x:c r="C557" s="2" t="str">
        <x:v>Chanda Everyday Kids Wear</x:v>
      </x:c>
      <x:c r="D557" s="2" t="n">
        <x:v>2985</x:v>
      </x:c>
      <x:c r="E557" s="11" t="n">
        <x:v>46022.5</x:v>
      </x:c>
      <x:c r="F557" s="2" t="n">
        <x:v>104</x:v>
      </x:c>
      <x:c r="G557" s="2" t="n">
        <x:v>214</x:v>
      </x:c>
      <x:c r="H557" s="10" t="n">
        <x:f>IF(F557=0,"无销量",D557*30/F557)</x:f>
        <x:v>861.0576923076923</x:v>
      </x:c>
      <x:c r="I557" s="10" t="n">
        <x:f>IF(G557=0,"无销量",D557*90/G557)</x:f>
        <x:v>1255.3738317757009</x:v>
      </x:c>
    </x:row>
    <x:row r="558" ht="27" customHeight="1">
      <x:c r="A558" s="2" t="str">
        <x:v>PROD10549</x:v>
      </x:c>
      <x:c r="B558" s="2" t="str">
        <x:v>Health &amp; Wellness</x:v>
      </x:c>
      <x:c r="C558" s="2" t="str">
        <x:v>Sunder, Smart Medical Device</x:v>
      </x:c>
      <x:c r="D558" s="2" t="n">
        <x:v>231</x:v>
      </x:c>
      <x:c r="E558" s="11" t="n">
        <x:v>46022.5</x:v>
      </x:c>
      <x:c r="F558" s="2" t="n">
        <x:v>60</x:v>
      </x:c>
      <x:c r="G558" s="2" t="n">
        <x:v>149</x:v>
      </x:c>
      <x:c r="H558" s="10" t="n">
        <x:f>IF(F558=0,"无销量",D558*30/F558)</x:f>
        <x:v>115.5</x:v>
      </x:c>
      <x:c r="I558" s="10" t="n">
        <x:f>IF(G558=0,"无销量",D558*90/G558)</x:f>
        <x:v>139.53020134228188</x:v>
      </x:c>
    </x:row>
  </x:sheetData>
  <x:pageMargins left="0.7" right="0.7" top="0.75" bottom="0.75" header="0.3" footer="0.3"/>
  <x:tableParts count="1">
    <x:tablePart xmlns:r="http://schemas.openxmlformats.org/officeDocument/2006/relationships" r:id="R6fa48c8ec1254f41"/>
  </x:tableParts>
</x:worksheet>
</file>